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c0660730\Downloads\"/>
    </mc:Choice>
  </mc:AlternateContent>
  <xr:revisionPtr revIDLastSave="0" documentId="13_ncr:1_{54A67DDA-DABD-45FF-9B37-9C8EB7A4DC96}" xr6:coauthVersionLast="47" xr6:coauthVersionMax="47" xr10:uidLastSave="{00000000-0000-0000-0000-000000000000}"/>
  <bookViews>
    <workbookView xWindow="-120" yWindow="-120" windowWidth="20730" windowHeight="11040" activeTab="3" xr2:uid="{28214A9F-2A81-492A-AF69-15E5D85BCA2C}"/>
  </bookViews>
  <sheets>
    <sheet name="Custos Estimados" sheetId="2" r:id="rId1"/>
    <sheet name="PV Nacional" sheetId="20" r:id="rId2"/>
    <sheet name="Informações Complementares" sheetId="7" r:id="rId3"/>
    <sheet name="PV MG" sheetId="22" r:id="rId4"/>
    <sheet name="Informações Complementares MG" sheetId="23"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2" i="20" l="1"/>
  <c r="C53" i="20" s="1"/>
  <c r="F53" i="20" s="1"/>
  <c r="F55" i="20"/>
  <c r="C56" i="20" s="1"/>
  <c r="F56" i="20" s="1"/>
  <c r="F58" i="20"/>
  <c r="C59" i="20" s="1"/>
  <c r="F59" i="20" l="1"/>
  <c r="F97" i="20" l="1"/>
  <c r="C98" i="20" s="1"/>
  <c r="F98" i="20" s="1"/>
  <c r="C99" i="20" s="1"/>
  <c r="F99" i="20" s="1"/>
  <c r="F78" i="22"/>
  <c r="F73" i="22"/>
  <c r="C74" i="22" s="1"/>
  <c r="F74" i="22" s="1"/>
  <c r="C75" i="22" s="1"/>
  <c r="F75" i="22" s="1"/>
  <c r="C76" i="22" s="1"/>
  <c r="F76" i="22" s="1"/>
  <c r="C77" i="22" s="1"/>
  <c r="F77" i="22" s="1"/>
  <c r="F47" i="22"/>
  <c r="C48" i="22" s="1"/>
  <c r="F48" i="22" s="1"/>
  <c r="F85" i="20"/>
  <c r="C86" i="20" s="1"/>
  <c r="F86" i="20" s="1"/>
  <c r="C87" i="20" s="1"/>
  <c r="F87" i="20" s="1"/>
  <c r="C88" i="20" s="1"/>
  <c r="F80" i="20"/>
  <c r="C81" i="20" s="1"/>
  <c r="F81" i="20" s="1"/>
  <c r="C104" i="20" l="1"/>
  <c r="F104" i="20" s="1"/>
  <c r="C100" i="20"/>
  <c r="F100" i="20" s="1"/>
  <c r="C101" i="20" s="1"/>
  <c r="F50" i="22"/>
  <c r="C51" i="22" s="1"/>
  <c r="F51" i="22" s="1"/>
  <c r="F53" i="22" s="1"/>
  <c r="C54" i="22" s="1"/>
  <c r="F54" i="22" s="1"/>
  <c r="C82" i="20"/>
  <c r="F82" i="20" s="1"/>
  <c r="C83" i="20" s="1"/>
  <c r="F83" i="20" s="1"/>
  <c r="C84" i="20" s="1"/>
  <c r="F84" i="20" s="1"/>
  <c r="F61" i="20"/>
  <c r="C62" i="20" s="1"/>
  <c r="F62" i="20" s="1"/>
  <c r="F88" i="20"/>
  <c r="C89" i="20" l="1"/>
  <c r="F89" i="20" s="1"/>
  <c r="C90" i="20" s="1"/>
  <c r="F90" i="20" s="1"/>
  <c r="F101" i="20"/>
  <c r="C102" i="20" s="1"/>
  <c r="F102" i="20" s="1"/>
  <c r="C103" i="20" s="1"/>
  <c r="F103" i="20" s="1"/>
  <c r="C55" i="22"/>
  <c r="F55" i="22" s="1"/>
  <c r="C56" i="22" s="1"/>
  <c r="F56" i="22" s="1"/>
  <c r="C57" i="22" s="1"/>
  <c r="C63" i="20"/>
  <c r="F63" i="20" s="1"/>
  <c r="C64" i="20" s="1"/>
  <c r="F64" i="20" l="1"/>
  <c r="C65" i="20" s="1"/>
  <c r="F65" i="20" s="1"/>
  <c r="C66" i="20" s="1"/>
  <c r="F66" i="20" s="1"/>
  <c r="C67" i="20" s="1"/>
  <c r="F67" i="20" s="1"/>
  <c r="C68" i="20" s="1"/>
  <c r="F68" i="20" s="1"/>
  <c r="C69" i="20" s="1"/>
  <c r="F69" i="20" s="1"/>
  <c r="F57" i="22"/>
  <c r="C58" i="22" s="1"/>
  <c r="F58" i="22" s="1"/>
  <c r="C59" i="22" s="1"/>
  <c r="F59" i="22" s="1"/>
  <c r="C60" i="22" s="1"/>
  <c r="F60" i="22" s="1"/>
  <c r="C61" i="22" s="1"/>
  <c r="F61" i="22" s="1"/>
  <c r="C62" i="22" s="1"/>
  <c r="F62" i="22" s="1"/>
  <c r="C64" i="22" l="1"/>
  <c r="F64" i="22" s="1"/>
  <c r="C66" i="22"/>
  <c r="C71" i="20"/>
  <c r="F71" i="20" s="1"/>
  <c r="C73" i="20"/>
  <c r="E11" i="2"/>
  <c r="E24" i="2"/>
  <c r="E12" i="2"/>
  <c r="F66" i="22" l="1"/>
  <c r="F73" i="20"/>
  <c r="E2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Naiara Machado Costa_CONTR</author>
  </authors>
  <commentList>
    <comment ref="B8" authorId="0" shapeId="0" xr:uid="{9CF713C5-ABB1-4892-A2C5-3803F9194B9C}">
      <text>
        <r>
          <rPr>
            <b/>
            <sz val="9"/>
            <color indexed="81"/>
            <rFont val="Segoe UI"/>
            <family val="2"/>
          </rPr>
          <t xml:space="preserve">álcool em gel e Lenços umidecidos
</t>
        </r>
        <r>
          <rPr>
            <sz val="9"/>
            <color indexed="81"/>
            <rFont val="Segoe UI"/>
            <family val="2"/>
          </rPr>
          <t xml:space="preserve">
</t>
        </r>
      </text>
    </comment>
  </commentList>
</comments>
</file>

<file path=xl/sharedStrings.xml><?xml version="1.0" encoding="utf-8"?>
<sst xmlns="http://schemas.openxmlformats.org/spreadsheetml/2006/main" count="588" uniqueCount="237">
  <si>
    <t>Estimativa de custos - Padrão Presidência</t>
  </si>
  <si>
    <t>CUSTOS EXTERNOS</t>
  </si>
  <si>
    <t>DESCRIÇÃO</t>
  </si>
  <si>
    <t>PREÇO</t>
  </si>
  <si>
    <t>UN.</t>
  </si>
  <si>
    <t>TOTAL</t>
  </si>
  <si>
    <t xml:space="preserve">CUSTOS EXTERNOS </t>
  </si>
  <si>
    <t>TOTAL DE CUSTOS EXTERNOS + IMPOSTOS</t>
  </si>
  <si>
    <t>CUSTOS INTERNOS</t>
  </si>
  <si>
    <t>TOTAL DE CUSTOS INTERNOS</t>
  </si>
  <si>
    <t>TOTAL DE CUSTOS GERAL</t>
  </si>
  <si>
    <r>
      <t>Informações dos Visitantes</t>
    </r>
    <r>
      <rPr>
        <sz val="36"/>
        <color rgb="FF525252"/>
        <rFont val="Vale Sans"/>
        <family val="2"/>
      </rPr>
      <t xml:space="preserve"> </t>
    </r>
  </si>
  <si>
    <t>Nome</t>
  </si>
  <si>
    <t>Documento</t>
  </si>
  <si>
    <t>Número 
Calçado</t>
  </si>
  <si>
    <t>Restrição Alimentar</t>
  </si>
  <si>
    <t>Peso</t>
  </si>
  <si>
    <t>Restrição 
Mobilidade</t>
  </si>
  <si>
    <t>Contato de Emergência</t>
  </si>
  <si>
    <t>None</t>
  </si>
  <si>
    <t>N/A</t>
  </si>
  <si>
    <t>Informações dos Representantes da Visita</t>
  </si>
  <si>
    <t>Centro de Custo da visita</t>
  </si>
  <si>
    <t>Telefones úteis</t>
  </si>
  <si>
    <t>Responsáveis em cada localidade</t>
  </si>
  <si>
    <t>Contato</t>
  </si>
  <si>
    <t>Comunicação Nacional e MG</t>
  </si>
  <si>
    <t>Programa de Visitas Nacionais e PA</t>
  </si>
  <si>
    <t>Programa de Visitas MG</t>
  </si>
  <si>
    <t>Papéis e responsabilidades</t>
  </si>
  <si>
    <t>Responsável</t>
  </si>
  <si>
    <t>Favor providenciar</t>
  </si>
  <si>
    <t>Comunicação</t>
  </si>
  <si>
    <t>Representantes da visita</t>
  </si>
  <si>
    <t>- Orientar os visitantes sobre o tipo de calçado e roupa, de acordo com as normas de segurança da Vale.
- Informar aos visitantes que durante a visita o uso dos EPI’s é obrigatório. A Vale fornecerá todos os EPI’s (capacete, óculos, protetor auricular, luva e botina).
- Orientar representantes locais sobre as apresentações. 
- Orientar visitantes quanto a programação. 
- Em caso de dúvidas, procurar pela Comunicação.</t>
  </si>
  <si>
    <t>Representantes locais</t>
  </si>
  <si>
    <t xml:space="preserve">- Acompanhar a visita conforme programação.
- Orientar os visitantes quanto às normas de segurança e rotas de fuga (orientações do PAEBM).
- Em caso de dúvidas, procurar pela Comunicação. </t>
  </si>
  <si>
    <t>Secretarias das localaidades</t>
  </si>
  <si>
    <t xml:space="preserve">- Apoio operacional.
- Reservar salas de reunião.
- Checar funcionamento dos recursos audiovisuais dos locais a serem usados.
- Abrir chamado de transporte e alimentação para a visita. 
- Apoiar nas liberações de portaria. </t>
  </si>
  <si>
    <t>Transporte Interno</t>
  </si>
  <si>
    <t>- Apoio operacional. 
- Disponibilizar transporte para atendimento exclusivo da visita, conforme a programação da visita.
- O microônibus deverá estar abastecido, limpo e com ar-condicionado funcionando. 
- Prever motorista que conhece o roteiro.
- Gentileza informar com antecedência nome e número do telefone do motorista para Comunicação.</t>
  </si>
  <si>
    <t>Segurança empresarial</t>
  </si>
  <si>
    <t>- Apoio operacional. 
- Liberar acesso dos visitantes e fornecedores nas portarias.
- Dar suporte para que o acesso dos visitantes e fornecedores aconteça de forma ágil, tendo em visita o horário da visita.</t>
  </si>
  <si>
    <t>Medicina</t>
  </si>
  <si>
    <t>- Ficar à disposição para qualquer emergência envolvendo a visita.</t>
  </si>
  <si>
    <t>Todos</t>
  </si>
  <si>
    <t>- Favor contatar a Comunicação em tempo hábil caso haja alguma dificuldade no desenvolvimento das providências.
- Gentileza ligar para Segurança Empresarial caso haja qualquer intercorrência (interna e externa) durante a programação da visita.</t>
  </si>
  <si>
    <t>Visit Program</t>
  </si>
  <si>
    <t xml:space="preserve">Visitors: </t>
  </si>
  <si>
    <t>Name</t>
  </si>
  <si>
    <t>Position</t>
  </si>
  <si>
    <t>Places to be visited</t>
  </si>
  <si>
    <t>Corporate Representatives:</t>
  </si>
  <si>
    <t>Schedule:</t>
  </si>
  <si>
    <t>August 12th (Wednesday)</t>
  </si>
  <si>
    <t>to</t>
  </si>
  <si>
    <t>Boarding the helicopter</t>
  </si>
  <si>
    <t>Overflight to Brucutu</t>
  </si>
  <si>
    <t>Transfer and visit to Autonomous Mine Viewpoint</t>
  </si>
  <si>
    <t>Transfer to Brucutu helipad</t>
  </si>
  <si>
    <t>Overnight</t>
  </si>
  <si>
    <t>August 13th (Thursday)</t>
  </si>
  <si>
    <t>Arrival in Rio de Janeiro and meetings</t>
  </si>
  <si>
    <t>Transfer to Belo Horizonte (CNF) airport</t>
  </si>
  <si>
    <t>Check-in + boarding</t>
  </si>
  <si>
    <t>Lunch</t>
  </si>
  <si>
    <t>August 14th (Friday)</t>
  </si>
  <si>
    <t>Meeting with Gustavo Pimenta and Rogério Nogueira</t>
  </si>
  <si>
    <t>End of visit</t>
  </si>
  <si>
    <r>
      <rPr>
        <b/>
        <sz val="22"/>
        <color rgb="FF00A98C"/>
        <rFont val="Vale Sans"/>
        <family val="2"/>
      </rPr>
      <t xml:space="preserve">Note: </t>
    </r>
    <r>
      <rPr>
        <sz val="22"/>
        <color rgb="FF00A98C"/>
        <rFont val="Vale Sans"/>
        <family val="2"/>
      </rPr>
      <t xml:space="preserve">In accordance with Vale's safety procedures, all visitors must wear pants, long- or short-sleeved shirts, and closed shoes. </t>
    </r>
    <r>
      <rPr>
        <b/>
        <sz val="22"/>
        <color rgb="FF00A98C"/>
        <rFont val="Vale Sans"/>
        <family val="2"/>
      </rPr>
      <t>Sleeveless shirts and open shoes are not permitted</t>
    </r>
    <r>
      <rPr>
        <sz val="22"/>
        <color rgb="FF00A98C"/>
        <rFont val="Vale Sans"/>
        <family val="2"/>
      </rPr>
      <t>. All necessary safety equipment will be provided during the visit.</t>
    </r>
  </si>
  <si>
    <t xml:space="preserve">LEGAL NOTICE "The information contained in this message and the attached files is for restricted use. The use, disclosure, copying, or distribution of this message by anyone other than the intended recipient is prohibited. If you have received this message in error, please delete it and notify the sender at the email address above."			</t>
  </si>
  <si>
    <t>às</t>
  </si>
  <si>
    <t xml:space="preserve"> Institutional Presentation</t>
  </si>
  <si>
    <t>Brunch</t>
  </si>
  <si>
    <t xml:space="preserve">Meeting </t>
  </si>
  <si>
    <t>Visit to Brucutu and meeting at Concordia Building</t>
  </si>
  <si>
    <t>Transfer to Caeser Business hotel</t>
  </si>
  <si>
    <t>Meeting at Caeser Business hotel's lobby</t>
  </si>
  <si>
    <t xml:space="preserve">Dinner (no Vale's arrangement) </t>
  </si>
  <si>
    <t>Meeting at Fasano hotel's lobby</t>
  </si>
  <si>
    <t>Transfer to Fasano hotel</t>
  </si>
  <si>
    <t>Transfer to helipad at Mater Dei Nova Lima Building</t>
  </si>
  <si>
    <t xml:space="preserve">Meeting at Caesar Business </t>
  </si>
  <si>
    <t>Overflight to Mater Dei Nova Lima Building</t>
  </si>
  <si>
    <t>Group 1</t>
  </si>
  <si>
    <t>Group 2</t>
  </si>
  <si>
    <r>
      <t xml:space="preserve">Language: </t>
    </r>
    <r>
      <rPr>
        <sz val="36"/>
        <color theme="1" tint="0.249977111117893"/>
        <rFont val="Vale Sans"/>
        <family val="2"/>
      </rPr>
      <t>English</t>
    </r>
  </si>
  <si>
    <t>Grupo 1</t>
  </si>
  <si>
    <t>Grupo 2</t>
  </si>
  <si>
    <t>Encontro no lobby do Hotel Fasano</t>
  </si>
  <si>
    <t>Traslado para o heliponto do Mater Dei Nova Lima</t>
  </si>
  <si>
    <t xml:space="preserve">Encontro no lobby do Hotel Caesar Business </t>
  </si>
  <si>
    <t>Sobrevoo para Mina de Brucutu</t>
  </si>
  <si>
    <t>Apresentação Institucional</t>
  </si>
  <si>
    <t>Traslado e visita ao Mirante da Mina Autônoma</t>
  </si>
  <si>
    <t xml:space="preserve">Traslado para o heliponto </t>
  </si>
  <si>
    <t>Traslado para o Edifício Concórdia</t>
  </si>
  <si>
    <t>Brucutu e Edifício Concórdia</t>
  </si>
  <si>
    <t>Reunião</t>
  </si>
  <si>
    <t>Traslado para o Hotel Caeser Business</t>
  </si>
  <si>
    <t xml:space="preserve">Traslado para o Hotel Fasano </t>
  </si>
  <si>
    <t xml:space="preserve">Jantar (sem ação da Vale) </t>
  </si>
  <si>
    <t>Pernoite</t>
  </si>
  <si>
    <t>13 de agosto (quinta-feira)</t>
  </si>
  <si>
    <t>12 de agosto (quarta-feira)</t>
  </si>
  <si>
    <t xml:space="preserve">Encontro no lobby do hotel Caeser Business </t>
  </si>
  <si>
    <t>Transfer to Fasano Hotel</t>
  </si>
  <si>
    <t>Encontro no lobby do hotel Fasano</t>
  </si>
  <si>
    <t>Traslado para o aeroporto de Confins</t>
  </si>
  <si>
    <t>Check-in + embarque</t>
  </si>
  <si>
    <r>
      <t xml:space="preserve">Voo para o </t>
    </r>
    <r>
      <rPr>
        <sz val="28"/>
        <color rgb="FF000000"/>
        <rFont val="Vale Sans"/>
        <family val="2"/>
      </rPr>
      <t xml:space="preserve"> Rio de Janeiro (GIG) </t>
    </r>
    <r>
      <rPr>
        <i/>
        <sz val="28"/>
        <color rgb="FF009999"/>
        <rFont val="Vale Sans"/>
        <family val="2"/>
      </rPr>
      <t>- Voo: Azul AD 2905</t>
    </r>
  </si>
  <si>
    <t>Fim da visita em Minas Gerais</t>
  </si>
  <si>
    <t>Voo para o Rio de Janeiro e reunião</t>
  </si>
  <si>
    <t>André Vilhena</t>
  </si>
  <si>
    <t>Lira Cosenza Bragança</t>
  </si>
  <si>
    <t>Carolina Wagner</t>
  </si>
  <si>
    <t>Technical Manager, Mega Hubs</t>
  </si>
  <si>
    <t>All</t>
  </si>
  <si>
    <t>Thiago Coelho Toscano</t>
  </si>
  <si>
    <t>79 Kg</t>
  </si>
  <si>
    <t>52 Kg</t>
  </si>
  <si>
    <t>Andre Fernandes de Vilhena</t>
  </si>
  <si>
    <t>61 Kg</t>
  </si>
  <si>
    <t>73 Kg</t>
  </si>
  <si>
    <t>80 Kg</t>
  </si>
  <si>
    <t>37/38</t>
  </si>
  <si>
    <t>Pork</t>
  </si>
  <si>
    <t>Transfer to Fairmont Hotel</t>
  </si>
  <si>
    <t>Ahmed Mustafa Abdulla Almusawa Alhashmi</t>
  </si>
  <si>
    <t>Free Night</t>
  </si>
  <si>
    <t>Meeting at Fairmont Hotel</t>
  </si>
  <si>
    <t>NKFH85632</t>
  </si>
  <si>
    <t>368.170.458-94</t>
  </si>
  <si>
    <t>Carolina Turon Wagner</t>
  </si>
  <si>
    <t>082.563.967-09</t>
  </si>
  <si>
    <t>Ghanem Ghady</t>
  </si>
  <si>
    <t>LR3941793</t>
  </si>
  <si>
    <t>042.987.366-28</t>
  </si>
  <si>
    <t>Sara Mohammed Hamood Al Shaaibi</t>
  </si>
  <si>
    <t>NX9535735</t>
  </si>
  <si>
    <t>Peso (Kg)</t>
  </si>
  <si>
    <t>013.437.456-83</t>
  </si>
  <si>
    <t>General Manager, Mega Hubs</t>
  </si>
  <si>
    <t>Gustavo Henrique Stein</t>
  </si>
  <si>
    <t>056.131.476-47</t>
  </si>
  <si>
    <t>Brucutu and Concórdia</t>
  </si>
  <si>
    <r>
      <t>Places to be visited:</t>
    </r>
    <r>
      <rPr>
        <sz val="36"/>
        <color rgb="FF006666"/>
        <rFont val="Vale Sans"/>
        <family val="2"/>
      </rPr>
      <t xml:space="preserve"> </t>
    </r>
    <r>
      <rPr>
        <sz val="36"/>
        <color theme="1" tint="0.249977111117893"/>
        <rFont val="Vale Sans"/>
        <family val="2"/>
      </rPr>
      <t>Minas Gerais (Brucutu and Concórdia) and Rio de Janeiro (TON)</t>
    </r>
  </si>
  <si>
    <t>CEO Itaminas</t>
  </si>
  <si>
    <t>Argeu de Lima Geo Filho</t>
  </si>
  <si>
    <t>Rodrigo Medrado Geo</t>
  </si>
  <si>
    <t>012.178.166-66</t>
  </si>
  <si>
    <t>013.543.656-74</t>
  </si>
  <si>
    <t>Vice-Presidente Operações Itaminas</t>
  </si>
  <si>
    <t>Vice-Presidente Finanças Itaminas</t>
  </si>
  <si>
    <t>Concórdia</t>
  </si>
  <si>
    <t>End of program</t>
  </si>
  <si>
    <r>
      <t xml:space="preserve">Date: </t>
    </r>
    <r>
      <rPr>
        <sz val="36"/>
        <color theme="1" tint="0.249977111117893"/>
        <rFont val="Vale Sans"/>
        <family val="2"/>
      </rPr>
      <t>August, 12th to 14th 2026</t>
    </r>
  </si>
  <si>
    <r>
      <t xml:space="preserve">Company: </t>
    </r>
    <r>
      <rPr>
        <sz val="36"/>
        <color theme="1" tint="0.249977111117893"/>
        <rFont val="Vale Sans"/>
        <family val="2"/>
      </rPr>
      <t>Hafeet Rail</t>
    </r>
  </si>
  <si>
    <t>Local Representatives:</t>
  </si>
  <si>
    <t>Brucutu</t>
  </si>
  <si>
    <t>Luiz Maia</t>
  </si>
  <si>
    <t>Maria Bueno</t>
  </si>
  <si>
    <t>General Manager Maintenence Brucutu</t>
  </si>
  <si>
    <t>Engineer</t>
  </si>
  <si>
    <t>Chief Executive Officer - Hafeet</t>
  </si>
  <si>
    <t>Product Development &amp; Strategy Director - Hafeet</t>
  </si>
  <si>
    <t xml:space="preserve">Fleet &amp; Terminals Director - Hafeet </t>
  </si>
  <si>
    <t>Business Development Manager - Hafeet</t>
  </si>
  <si>
    <r>
      <t xml:space="preserve">Transfer to Concórdia Building </t>
    </r>
    <r>
      <rPr>
        <i/>
        <sz val="28"/>
        <color rgb="FF009999"/>
        <rFont val="Vale Sans"/>
        <family val="2"/>
      </rPr>
      <t xml:space="preserve"> (Room SC 312 - 31° floor and SR 294 - 29° floor)</t>
    </r>
  </si>
  <si>
    <t>Group 1 - Ahmed Alhashmi</t>
  </si>
  <si>
    <t>Group 2 - Ghanem Ghady, Gustavo Stein and Sara Al Shaaibi</t>
  </si>
  <si>
    <t>Group 3 - Vale representatives + Thiago Toscado</t>
  </si>
  <si>
    <t>Transfer to Concordia Building</t>
  </si>
  <si>
    <t>Meeting at Concordia Building</t>
  </si>
  <si>
    <t>Director, Mega Hubs</t>
  </si>
  <si>
    <t>Tatiana Tauhata</t>
  </si>
  <si>
    <t>General Manager, Estrategic Development Mega Hubs</t>
  </si>
  <si>
    <t>Concórdia e RJ</t>
  </si>
  <si>
    <t>Rafael Fonseca Lima</t>
  </si>
  <si>
    <t>Manager, Minerals Partnership Development</t>
  </si>
  <si>
    <t>Fabio Ferraz</t>
  </si>
  <si>
    <t>Director, Mergers and Acquisitions</t>
  </si>
  <si>
    <t>RJ</t>
  </si>
  <si>
    <t>- Acionar áreas envolvidas.
- Suporte a todas as atividades previstas na agenda.
- Fazer programação de visita (PV) e publicar para as áreas envolvidas. 
- Liberar acesso dos visitantes e fornecedores nas portarias.
- Prever receptivos nos aeroportos e nos hoteis.
- Contratar serviço de brunch no Concórdia.
- Acompanhar reserva no restaurante no RJ.
- Abrir chamado na aviação.
- Prever brindes.
- Contratar fotográfo no RIo de Janeiro.
- Reservar salas de reunião no Concórdia e na TON.
- Acompanhar toda a programação.</t>
  </si>
  <si>
    <t xml:space="preserve">Roberta Inácio </t>
  </si>
  <si>
    <r>
      <t xml:space="preserve">Debitar despesas: </t>
    </r>
    <r>
      <rPr>
        <sz val="32"/>
        <color rgb="FF747474"/>
        <rFont val="Vale Sans"/>
        <family val="2"/>
      </rPr>
      <t>CC 3150003</t>
    </r>
  </si>
  <si>
    <t>31 99925-1912</t>
  </si>
  <si>
    <t>Marina de Macedo</t>
  </si>
  <si>
    <t>31 99066-6576</t>
  </si>
  <si>
    <t>Carla Mafra</t>
  </si>
  <si>
    <t>21 99497-3031</t>
  </si>
  <si>
    <t>Gustavo Pimenta</t>
  </si>
  <si>
    <t>Rogério Nogueira</t>
  </si>
  <si>
    <t>Vice Presidente Executivo Comercial Novos Negócios</t>
  </si>
  <si>
    <t xml:space="preserve">CEO </t>
  </si>
  <si>
    <r>
      <rPr>
        <b/>
        <sz val="36"/>
        <color rgb="FF007E7A"/>
        <rFont val="Vale Sans"/>
        <family val="2"/>
      </rPr>
      <t>Context and Objectives:</t>
    </r>
    <r>
      <rPr>
        <sz val="11"/>
        <color theme="1" tint="0.249977111117893"/>
        <rFont val="Aptos Narrow"/>
        <family val="2"/>
        <scheme val="minor"/>
      </rPr>
      <t xml:space="preserve"> </t>
    </r>
    <r>
      <rPr>
        <sz val="36"/>
        <color theme="1" tint="0.249977111117893"/>
        <rFont val="Vale Sans"/>
        <family val="2"/>
      </rPr>
      <t>Hafeet Rail, a joint venture responsible for developing and operating the first cross-border railway connecting the UAE and Oman, is visiting Vale to strengthen the strategic partnership in the Middle East, align on long-term cooperation opportunities, advance the joint roadmap, and deepen its understanding of Vale’s scale, capabilities, and strategic priorities.</t>
    </r>
  </si>
  <si>
    <r>
      <t xml:space="preserve">Contry of Origin: </t>
    </r>
    <r>
      <rPr>
        <sz val="36"/>
        <color theme="1" tint="0.249977111117893"/>
        <rFont val="Vale Sans"/>
        <family val="2"/>
      </rPr>
      <t>United Arab Emirates / Oman</t>
    </r>
  </si>
  <si>
    <r>
      <t xml:space="preserve">Meeting with Vale representatives </t>
    </r>
    <r>
      <rPr>
        <i/>
        <sz val="28"/>
        <color rgb="FFFF0000"/>
        <rFont val="Vale Sans"/>
        <family val="2"/>
      </rPr>
      <t>(RCE and 20.7 - 20° floor)</t>
    </r>
  </si>
  <si>
    <r>
      <t>Meeting with Gustavo Pimenta and Rogério Nogueira</t>
    </r>
    <r>
      <rPr>
        <i/>
        <sz val="28"/>
        <color rgb="FF009999"/>
        <rFont val="Vale Sans"/>
        <family val="2"/>
      </rPr>
      <t xml:space="preserve"> (VIP room - 20° floor)</t>
    </r>
  </si>
  <si>
    <r>
      <rPr>
        <sz val="28"/>
        <color rgb="FF000000"/>
        <rFont val="Vale Sans"/>
        <family val="2"/>
      </rPr>
      <t xml:space="preserve">Flight to Rio de Janeiro (SDU) </t>
    </r>
    <r>
      <rPr>
        <i/>
        <sz val="28"/>
        <color rgb="FF009999"/>
        <rFont val="Vale Sans"/>
        <family val="2"/>
      </rPr>
      <t>- Flight: Azul AD 2905</t>
    </r>
  </si>
  <si>
    <t>André Maciel Machado</t>
  </si>
  <si>
    <t>Rodrigo Andrade Valadares Gontijo</t>
  </si>
  <si>
    <t>Diretor Técnico e de Desenvolvimento do Negócio Itaminas</t>
  </si>
  <si>
    <t>CEO AVG / Vice Presidente Conselho Itaminas</t>
  </si>
  <si>
    <t>Cargo</t>
  </si>
  <si>
    <t>Lugares a serem visitados</t>
  </si>
  <si>
    <t>Visitantes:</t>
  </si>
  <si>
    <t>Representantes Corporativos</t>
  </si>
  <si>
    <t>Gerente Geral Manutenção Mina Usina Brucutu</t>
  </si>
  <si>
    <t>Engenheira</t>
  </si>
  <si>
    <t>Argeu de Lima Geo</t>
  </si>
  <si>
    <t>Sócio Itaminas</t>
  </si>
  <si>
    <t>Programação</t>
  </si>
  <si>
    <t xml:space="preserve">Argeu de Lima Geo </t>
  </si>
  <si>
    <t>317.657.696-04</t>
  </si>
  <si>
    <t>082.587.816-00</t>
  </si>
  <si>
    <t>551.351.296-34</t>
  </si>
  <si>
    <t>Programa de Visita</t>
  </si>
  <si>
    <r>
      <rPr>
        <b/>
        <sz val="36"/>
        <color rgb="FF006666"/>
        <rFont val="Vale Sans"/>
        <family val="2"/>
      </rPr>
      <t>Empresa:</t>
    </r>
    <r>
      <rPr>
        <b/>
        <sz val="36"/>
        <color rgb="FF007E7A"/>
        <rFont val="Vale Sans"/>
        <family val="2"/>
      </rPr>
      <t xml:space="preserve"> </t>
    </r>
    <r>
      <rPr>
        <sz val="36"/>
        <color theme="1" tint="0.249977111117893"/>
        <rFont val="Vale Sans"/>
        <family val="2"/>
      </rPr>
      <t>Hafeet Rail</t>
    </r>
  </si>
  <si>
    <r>
      <rPr>
        <b/>
        <sz val="36"/>
        <color rgb="FF006666"/>
        <rFont val="Vale Sans"/>
        <family val="2"/>
      </rPr>
      <t xml:space="preserve">Language: </t>
    </r>
    <r>
      <rPr>
        <sz val="36"/>
        <color theme="1" tint="0.249977111117893"/>
        <rFont val="Vale Sans"/>
        <family val="2"/>
      </rPr>
      <t>English</t>
    </r>
  </si>
  <si>
    <r>
      <rPr>
        <b/>
        <sz val="36"/>
        <color rgb="FF006666"/>
        <rFont val="Vale Sans"/>
        <family val="2"/>
      </rPr>
      <t>País de Origem:</t>
    </r>
    <r>
      <rPr>
        <b/>
        <sz val="36"/>
        <color rgb="FF007E7A"/>
        <rFont val="Vale Sans"/>
        <family val="2"/>
      </rPr>
      <t xml:space="preserve"> </t>
    </r>
    <r>
      <rPr>
        <sz val="36"/>
        <color theme="1" tint="0.249977111117893"/>
        <rFont val="Vale Sans"/>
        <family val="2"/>
      </rPr>
      <t>Omã / Emirados Arábes Unidos</t>
    </r>
  </si>
  <si>
    <r>
      <t>Lugares a serem visitados:</t>
    </r>
    <r>
      <rPr>
        <sz val="36"/>
        <color rgb="FF006666"/>
        <rFont val="Vale Sans"/>
        <family val="2"/>
      </rPr>
      <t xml:space="preserve"> </t>
    </r>
    <r>
      <rPr>
        <sz val="36"/>
        <color theme="1" tint="0.249977111117893"/>
        <rFont val="Vale Sans"/>
        <family val="2"/>
      </rPr>
      <t>Brucutu e Concórdia</t>
    </r>
  </si>
  <si>
    <r>
      <rPr>
        <b/>
        <sz val="36"/>
        <color rgb="FF006666"/>
        <rFont val="Vale Sans"/>
        <family val="2"/>
      </rPr>
      <t xml:space="preserve">Contexo e objetivo: </t>
    </r>
    <r>
      <rPr>
        <sz val="11"/>
        <color rgb="FF000000"/>
        <rFont val="Aptos Narrow"/>
        <family val="2"/>
        <scheme val="minor"/>
      </rPr>
      <t xml:space="preserve"> </t>
    </r>
    <r>
      <rPr>
        <sz val="36"/>
        <color theme="2" tint="-0.749992370372631"/>
        <rFont val="Vale Sans"/>
        <family val="2"/>
      </rPr>
      <t>A Hafeet Rail, uma joint venture responsável pelo desenvolvimento e exploração da primeira linha ferroviária transfronteiriça que liga os Emirados Árabes Unidos e Omã, está de visita à Vale para reforçar a parceria estratégica no Médio Oriente, chegar a um consenso sobre oportunidades de cooperação a longo prazo, avançar com o plano de ação conjunto e aprofundar a sua compreensão da dimensão, das capacidades e das prioridades estratégicas da Vale.</t>
    </r>
  </si>
  <si>
    <r>
      <rPr>
        <b/>
        <sz val="36"/>
        <color rgb="FF006666"/>
        <rFont val="Vale Sans"/>
        <family val="2"/>
      </rPr>
      <t xml:space="preserve">Data: </t>
    </r>
    <r>
      <rPr>
        <sz val="36"/>
        <color rgb="FF525252"/>
        <rFont val="Vale Sans"/>
        <family val="2"/>
      </rPr>
      <t>12 a 13 de Agosto de 2026</t>
    </r>
  </si>
  <si>
    <t>- Acionar áreas envolvidas.
- Suporte a todas as atividades previstas na agenda.
- Fazer programação de visita (PV) e publicar para as áreas envolvidas. 
- Liberar acesso dos visitantes e fornecedores nas portarias.
- Prever receptivos no aeroporto e no hotel.
- Contratar serviço de brunch no Concórdia.
- Abrir chamado na aviação.
- Reservar sala de reunião no Concórdia.
- Acompanhar toda a programação.</t>
  </si>
  <si>
    <t>Representantes Locais</t>
  </si>
  <si>
    <t>Traslado e visita a sala de controle Mina Autônoma</t>
  </si>
  <si>
    <t>Voo para o heliponto do Concórdia</t>
  </si>
  <si>
    <t>Embarque no helicóptero (Concórdia)</t>
  </si>
  <si>
    <t>Felipe Aigner</t>
  </si>
  <si>
    <t>Director of Supply</t>
  </si>
  <si>
    <t>Visitors' disembarking</t>
  </si>
  <si>
    <t>Shaking hands with Rogério Nogueira</t>
  </si>
  <si>
    <t>Transfer to Torre Oscar Niemeyer</t>
  </si>
  <si>
    <t xml:space="preserve">Meeting at Oscar Niemeyer Tower`s hall </t>
  </si>
  <si>
    <r>
      <t xml:space="preserve">Meeting with Vale representatives </t>
    </r>
    <r>
      <rPr>
        <i/>
        <sz val="28"/>
        <color rgb="FF009999"/>
        <rFont val="Vale Sans"/>
        <family val="2"/>
      </rPr>
      <t>(Room 20.4 and 20.7 - 20° floor)</t>
    </r>
  </si>
  <si>
    <t>Arrival at Oscar Niemeyer Tower's hall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</si>
</sst>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R$&quot;\ #,##0.00;[Red]\-&quot;R$&quot;\ #,##0.00"/>
    <numFmt numFmtId="164" formatCode="_(&quot;$&quot;* #,##0.00_);_(&quot;$&quot;* \(#,##0.00\);_(&quot;$&quot;* &quot;-&quot;??_);_(@_)"/>
  </numFmts>
  <fonts count="59" x14ac:knownFonts="1">
    <font>
      <sz val="11"/>
      <color theme="1"/>
      <name val="Aptos Narrow"/>
      <family val="2"/>
      <scheme val="minor"/>
    </font>
    <font>
      <b/>
      <sz val="11"/>
      <color rgb="FF000000"/>
      <name val="Calibri"/>
      <family val="2"/>
    </font>
    <font>
      <sz val="11"/>
      <color rgb="FF000000"/>
      <name val="Calibri"/>
      <family val="2"/>
    </font>
    <font>
      <b/>
      <sz val="11"/>
      <color rgb="FF006666"/>
      <name val="Calibri"/>
      <family val="2"/>
    </font>
    <font>
      <b/>
      <sz val="14"/>
      <color rgb="FF006666"/>
      <name val="Calibri"/>
      <family val="2"/>
    </font>
    <font>
      <b/>
      <sz val="9"/>
      <color indexed="81"/>
      <name val="Segoe UI"/>
      <family val="2"/>
    </font>
    <font>
      <sz val="11"/>
      <name val="Calibri"/>
      <family val="2"/>
    </font>
    <font>
      <sz val="9"/>
      <color indexed="81"/>
      <name val="Segoe UI"/>
      <family val="2"/>
    </font>
    <font>
      <sz val="11"/>
      <color theme="0"/>
      <name val="Calibri"/>
      <family val="2"/>
    </font>
    <font>
      <b/>
      <sz val="11"/>
      <color theme="0"/>
      <name val="Calibri"/>
      <family val="2"/>
    </font>
    <font>
      <b/>
      <sz val="16"/>
      <color theme="0"/>
      <name val="Calibri"/>
      <family val="2"/>
    </font>
    <font>
      <sz val="12"/>
      <color theme="1"/>
      <name val="Vale Sans"/>
      <family val="2"/>
    </font>
    <font>
      <b/>
      <sz val="36"/>
      <color rgb="FF007E7A"/>
      <name val="Vale Sans"/>
      <family val="2"/>
    </font>
    <font>
      <sz val="36"/>
      <color theme="1"/>
      <name val="Vale Sans"/>
      <family val="2"/>
    </font>
    <font>
      <sz val="36"/>
      <color theme="1"/>
      <name val="Aptos Narrow"/>
      <family val="2"/>
      <scheme val="minor"/>
    </font>
    <font>
      <b/>
      <sz val="32"/>
      <color rgb="FFECB11F"/>
      <name val="Vale Sans"/>
      <family val="2"/>
    </font>
    <font>
      <b/>
      <sz val="28"/>
      <color rgb="FF00A98C"/>
      <name val="Vale Sans"/>
      <family val="2"/>
    </font>
    <font>
      <sz val="28"/>
      <color theme="1"/>
      <name val="Vale Sans"/>
      <family val="2"/>
    </font>
    <font>
      <b/>
      <sz val="28"/>
      <color theme="0"/>
      <name val="Vale Sans"/>
      <family val="2"/>
    </font>
    <font>
      <b/>
      <sz val="28"/>
      <color theme="1"/>
      <name val="Vale Sans"/>
      <family val="2"/>
    </font>
    <font>
      <sz val="18"/>
      <color theme="1"/>
      <name val="Vale Sans"/>
      <family val="2"/>
    </font>
    <font>
      <sz val="11"/>
      <color theme="1"/>
      <name val="Aptos Narrow"/>
      <family val="2"/>
      <scheme val="minor"/>
    </font>
    <font>
      <sz val="28"/>
      <color rgb="FF000000"/>
      <name val="Vale Sans"/>
      <family val="2"/>
    </font>
    <font>
      <sz val="12"/>
      <color theme="1"/>
      <name val="Vale Sans"/>
      <family val="2"/>
    </font>
    <font>
      <b/>
      <sz val="36"/>
      <color rgb="FFECB11F"/>
      <name val="Vale Sans"/>
      <family val="2"/>
    </font>
    <font>
      <sz val="36"/>
      <color rgb="FF525252"/>
      <name val="Vale Sans"/>
      <family val="2"/>
    </font>
    <font>
      <b/>
      <sz val="24"/>
      <color theme="0"/>
      <name val="Vale Sans"/>
      <family val="2"/>
    </font>
    <font>
      <sz val="24"/>
      <color theme="0"/>
      <name val="Vale Sans"/>
      <family val="2"/>
    </font>
    <font>
      <b/>
      <i/>
      <sz val="36"/>
      <color rgb="FFECB11F"/>
      <name val="Vale Sans"/>
      <family val="2"/>
    </font>
    <font>
      <b/>
      <sz val="32"/>
      <color rgb="FF007E7A"/>
      <name val="Vale Sans"/>
      <family val="2"/>
    </font>
    <font>
      <i/>
      <sz val="28"/>
      <color rgb="FFECB11F"/>
      <name val="Vale Sans"/>
      <family val="2"/>
    </font>
    <font>
      <sz val="21"/>
      <color rgb="FF00A98C"/>
      <name val="Vale Sans"/>
      <family val="2"/>
    </font>
    <font>
      <b/>
      <sz val="36"/>
      <color rgb="FF007E7A"/>
      <name val="Vale Sans"/>
      <family val="2"/>
    </font>
    <font>
      <i/>
      <sz val="28"/>
      <color rgb="FFECB11F"/>
      <name val="Vale Sans"/>
      <family val="2"/>
    </font>
    <font>
      <sz val="28"/>
      <color theme="1"/>
      <name val="Vale Sans"/>
      <family val="2"/>
    </font>
    <font>
      <b/>
      <sz val="28"/>
      <color rgb="FF00A98C"/>
      <name val="Vale Sans"/>
      <family val="2"/>
    </font>
    <font>
      <sz val="24"/>
      <color theme="0"/>
      <name val="Vale Sans"/>
      <family val="2"/>
    </font>
    <font>
      <b/>
      <sz val="11"/>
      <color theme="1"/>
      <name val="Aptos Narrow"/>
      <family val="2"/>
      <scheme val="minor"/>
    </font>
    <font>
      <sz val="11"/>
      <color rgb="FF000000"/>
      <name val="Aptos Narrow"/>
      <family val="2"/>
      <scheme val="minor"/>
    </font>
    <font>
      <sz val="12"/>
      <color theme="1"/>
      <name val="Vale Sans"/>
      <family val="2"/>
    </font>
    <font>
      <b/>
      <i/>
      <sz val="56"/>
      <color rgb="FFECB11F"/>
      <name val="Vale Sans"/>
      <family val="2"/>
    </font>
    <font>
      <b/>
      <sz val="32"/>
      <color rgb="FFECB11F"/>
      <name val="Vale Sans"/>
      <family val="2"/>
    </font>
    <font>
      <sz val="22"/>
      <color rgb="FF00A98C"/>
      <name val="Vale Sans"/>
      <family val="2"/>
    </font>
    <font>
      <sz val="14"/>
      <color theme="1"/>
      <name val="Vale Sans"/>
      <family val="2"/>
    </font>
    <font>
      <b/>
      <sz val="22"/>
      <color rgb="FF00A98C"/>
      <name val="Vale Sans"/>
      <family val="2"/>
    </font>
    <font>
      <b/>
      <sz val="36"/>
      <color rgb="FF006666"/>
      <name val="Vale Sans"/>
      <family val="2"/>
    </font>
    <font>
      <sz val="24"/>
      <color theme="1" tint="0.249977111117893"/>
      <name val="Vale Sans"/>
      <family val="2"/>
    </font>
    <font>
      <i/>
      <sz val="28"/>
      <color rgb="FF009999"/>
      <name val="Vale Sans"/>
      <family val="2"/>
    </font>
    <font>
      <sz val="32"/>
      <color rgb="FF747474"/>
      <name val="Vale Sans"/>
      <family val="2"/>
    </font>
    <font>
      <sz val="36"/>
      <color rgb="FF006666"/>
      <name val="Vale Sans"/>
      <family val="2"/>
    </font>
    <font>
      <sz val="36"/>
      <color theme="1" tint="0.249977111117893"/>
      <name val="Vale Sans"/>
      <family val="2"/>
    </font>
    <font>
      <sz val="11"/>
      <color rgb="FF007E7A"/>
      <name val="Aptos Narrow"/>
      <family val="2"/>
      <scheme val="minor"/>
    </font>
    <font>
      <sz val="11"/>
      <color theme="1" tint="0.249977111117893"/>
      <name val="Aptos Narrow"/>
      <family val="2"/>
      <scheme val="minor"/>
    </font>
    <font>
      <b/>
      <sz val="28"/>
      <color rgb="FF000000"/>
      <name val="Vale Sans"/>
      <family val="2"/>
    </font>
    <font>
      <b/>
      <sz val="28"/>
      <color rgb="FFFF0000"/>
      <name val="Vale Sans"/>
      <family val="2"/>
    </font>
    <font>
      <sz val="28"/>
      <color rgb="FFFF0000"/>
      <name val="Vale Sans"/>
      <family val="2"/>
    </font>
    <font>
      <i/>
      <sz val="28"/>
      <color rgb="FFFF0000"/>
      <name val="Vale Sans"/>
      <family val="2"/>
    </font>
    <font>
      <sz val="36"/>
      <color theme="2" tint="-0.749992370372631"/>
      <name val="Vale Sans"/>
      <family val="2"/>
    </font>
    <font>
      <sz val="28"/>
      <color theme="1"/>
      <name val="Vale Sans"/>
    </font>
  </fonts>
  <fills count="10">
    <fill>
      <patternFill patternType="none"/>
    </fill>
    <fill>
      <patternFill patternType="gray125"/>
    </fill>
    <fill>
      <patternFill patternType="solid">
        <fgColor rgb="FF006666"/>
        <bgColor rgb="FF000000"/>
      </patternFill>
    </fill>
    <fill>
      <patternFill patternType="solid">
        <fgColor theme="0" tint="-4.9989318521683403E-2"/>
        <bgColor indexed="64"/>
      </patternFill>
    </fill>
    <fill>
      <patternFill patternType="solid">
        <fgColor theme="0" tint="-4.9989318521683403E-2"/>
        <bgColor rgb="FF000000"/>
      </patternFill>
    </fill>
    <fill>
      <patternFill patternType="solid">
        <fgColor rgb="FF00A98C"/>
        <bgColor indexed="64"/>
      </patternFill>
    </fill>
    <fill>
      <patternFill patternType="solid">
        <fgColor rgb="FFECB11F"/>
        <bgColor indexed="64"/>
      </patternFill>
    </fill>
    <fill>
      <patternFill patternType="solid">
        <fgColor rgb="FF007E7A"/>
        <bgColor indexed="64"/>
      </patternFill>
    </fill>
    <fill>
      <patternFill patternType="solid">
        <fgColor rgb="FFFFFFFF"/>
        <bgColor rgb="FF000000"/>
      </patternFill>
    </fill>
    <fill>
      <patternFill patternType="solid">
        <fgColor theme="0"/>
        <bgColor indexed="64"/>
      </patternFill>
    </fill>
  </fills>
  <borders count="4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medium">
        <color rgb="FF006666"/>
      </left>
      <right/>
      <top style="medium">
        <color rgb="FF006666"/>
      </top>
      <bottom style="thin">
        <color indexed="64"/>
      </bottom>
      <diagonal/>
    </border>
    <border>
      <left/>
      <right/>
      <top style="medium">
        <color rgb="FF006666"/>
      </top>
      <bottom style="thin">
        <color indexed="64"/>
      </bottom>
      <diagonal/>
    </border>
    <border>
      <left/>
      <right style="medium">
        <color rgb="FF006666"/>
      </right>
      <top style="medium">
        <color rgb="FF006666"/>
      </top>
      <bottom style="thin">
        <color indexed="64"/>
      </bottom>
      <diagonal/>
    </border>
    <border>
      <left style="medium">
        <color rgb="FF006666"/>
      </left>
      <right/>
      <top/>
      <bottom/>
      <diagonal/>
    </border>
    <border>
      <left/>
      <right style="medium">
        <color rgb="FF006666"/>
      </right>
      <top/>
      <bottom/>
      <diagonal/>
    </border>
    <border>
      <left style="medium">
        <color rgb="FF006666"/>
      </left>
      <right style="thin">
        <color indexed="64"/>
      </right>
      <top style="thin">
        <color indexed="64"/>
      </top>
      <bottom style="thin">
        <color indexed="64"/>
      </bottom>
      <diagonal/>
    </border>
    <border>
      <left style="medium">
        <color rgb="FF006666"/>
      </left>
      <right/>
      <top style="thin">
        <color indexed="64"/>
      </top>
      <bottom/>
      <diagonal/>
    </border>
    <border>
      <left/>
      <right style="medium">
        <color rgb="FF006666"/>
      </right>
      <top style="thin">
        <color indexed="64"/>
      </top>
      <bottom/>
      <diagonal/>
    </border>
    <border>
      <left/>
      <right style="medium">
        <color rgb="FF006666"/>
      </right>
      <top style="thin">
        <color indexed="64"/>
      </top>
      <bottom style="thin">
        <color indexed="64"/>
      </bottom>
      <diagonal/>
    </border>
    <border>
      <left style="medium">
        <color rgb="FF006666"/>
      </left>
      <right style="thin">
        <color indexed="64"/>
      </right>
      <top style="thin">
        <color indexed="64"/>
      </top>
      <bottom style="medium">
        <color rgb="FF006666"/>
      </bottom>
      <diagonal/>
    </border>
    <border>
      <left style="thin">
        <color indexed="64"/>
      </left>
      <right/>
      <top style="thin">
        <color indexed="64"/>
      </top>
      <bottom style="medium">
        <color rgb="FF006666"/>
      </bottom>
      <diagonal/>
    </border>
    <border>
      <left/>
      <right/>
      <top style="thin">
        <color indexed="64"/>
      </top>
      <bottom style="medium">
        <color rgb="FF006666"/>
      </bottom>
      <diagonal/>
    </border>
    <border>
      <left/>
      <right style="medium">
        <color rgb="FF006666"/>
      </right>
      <top style="thin">
        <color indexed="64"/>
      </top>
      <bottom style="medium">
        <color rgb="FF006666"/>
      </bottom>
      <diagonal/>
    </border>
    <border>
      <left style="medium">
        <color rgb="FF006666"/>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rgb="FF006666"/>
      </right>
      <top/>
      <bottom style="thin">
        <color indexed="64"/>
      </bottom>
      <diagonal/>
    </border>
    <border>
      <left/>
      <right/>
      <top style="thin">
        <color rgb="FF006666"/>
      </top>
      <bottom style="thin">
        <color rgb="FF006666"/>
      </bottom>
      <diagonal/>
    </border>
    <border>
      <left style="medium">
        <color rgb="FF006666"/>
      </left>
      <right/>
      <top style="thin">
        <color rgb="FF006666"/>
      </top>
      <bottom style="thin">
        <color rgb="FF006666"/>
      </bottom>
      <diagonal/>
    </border>
    <border>
      <left/>
      <right style="medium">
        <color rgb="FF006666"/>
      </right>
      <top style="thin">
        <color rgb="FF006666"/>
      </top>
      <bottom style="thin">
        <color rgb="FF006666"/>
      </bottom>
      <diagonal/>
    </border>
    <border>
      <left style="thin">
        <color indexed="64"/>
      </left>
      <right/>
      <top style="thin">
        <color rgb="FF006666"/>
      </top>
      <bottom style="thin">
        <color rgb="FF006666"/>
      </bottom>
      <diagonal/>
    </border>
    <border>
      <left style="medium">
        <color rgb="FF006666"/>
      </left>
      <right style="thin">
        <color indexed="64"/>
      </right>
      <top style="thin">
        <color rgb="FF006666"/>
      </top>
      <bottom style="thin">
        <color rgb="FF006666"/>
      </bottom>
      <diagonal/>
    </border>
    <border>
      <left style="medium">
        <color rgb="FF006666"/>
      </left>
      <right/>
      <top style="thin">
        <color indexed="64"/>
      </top>
      <bottom style="thin">
        <color rgb="FF006666"/>
      </bottom>
      <diagonal/>
    </border>
    <border>
      <left/>
      <right/>
      <top style="thin">
        <color indexed="64"/>
      </top>
      <bottom style="thin">
        <color rgb="FF006666"/>
      </bottom>
      <diagonal/>
    </border>
    <border>
      <left/>
      <right style="medium">
        <color rgb="FF006666"/>
      </right>
      <top style="thin">
        <color indexed="64"/>
      </top>
      <bottom style="thin">
        <color rgb="FF006666"/>
      </bottom>
      <diagonal/>
    </border>
    <border>
      <left style="medium">
        <color rgb="FF006666"/>
      </left>
      <right/>
      <top style="thin">
        <color indexed="64"/>
      </top>
      <bottom style="thin">
        <color indexed="64"/>
      </bottom>
      <diagonal/>
    </border>
    <border>
      <left/>
      <right style="thin">
        <color theme="0"/>
      </right>
      <top style="thin">
        <color theme="0"/>
      </top>
      <bottom/>
      <diagonal/>
    </border>
    <border>
      <left style="thin">
        <color theme="0"/>
      </left>
      <right style="thin">
        <color theme="0"/>
      </right>
      <top style="thin">
        <color theme="0"/>
      </top>
      <bottom style="medium">
        <color theme="0"/>
      </bottom>
      <diagonal/>
    </border>
    <border>
      <left style="thin">
        <color theme="0"/>
      </left>
      <right/>
      <top style="thin">
        <color theme="0"/>
      </top>
      <bottom style="medium">
        <color theme="0"/>
      </bottom>
      <diagonal/>
    </border>
    <border>
      <left/>
      <right/>
      <top style="medium">
        <color theme="0"/>
      </top>
      <bottom style="thin">
        <color theme="0"/>
      </bottom>
      <diagonal/>
    </border>
    <border>
      <left style="thin">
        <color theme="0"/>
      </left>
      <right/>
      <top style="medium">
        <color theme="0"/>
      </top>
      <bottom style="thin">
        <color theme="0"/>
      </bottom>
      <diagonal/>
    </border>
    <border>
      <left/>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style="thin">
        <color theme="0"/>
      </right>
      <top style="medium">
        <color theme="0"/>
      </top>
      <bottom style="thin">
        <color theme="0"/>
      </bottom>
      <diagonal/>
    </border>
    <border>
      <left/>
      <right/>
      <top style="thin">
        <color theme="0"/>
      </top>
      <bottom style="medium">
        <color theme="0"/>
      </bottom>
      <diagonal/>
    </border>
    <border>
      <left/>
      <right style="thin">
        <color theme="0"/>
      </right>
      <top style="thin">
        <color theme="0"/>
      </top>
      <bottom style="medium">
        <color theme="0"/>
      </bottom>
      <diagonal/>
    </border>
    <border>
      <left style="thin">
        <color theme="0"/>
      </left>
      <right style="thin">
        <color theme="0"/>
      </right>
      <top style="thin">
        <color theme="0"/>
      </top>
      <bottom style="thin">
        <color theme="0"/>
      </bottom>
      <diagonal/>
    </border>
    <border>
      <left/>
      <right/>
      <top/>
      <bottom style="thin">
        <color theme="0"/>
      </bottom>
      <diagonal/>
    </border>
    <border>
      <left style="thin">
        <color theme="0"/>
      </left>
      <right/>
      <top style="thin">
        <color theme="0"/>
      </top>
      <bottom/>
      <diagonal/>
    </border>
    <border>
      <left/>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thin">
        <color theme="0"/>
      </left>
      <right/>
      <top/>
      <bottom/>
      <diagonal/>
    </border>
    <border>
      <left/>
      <right style="thin">
        <color theme="0"/>
      </right>
      <top/>
      <bottom/>
      <diagonal/>
    </border>
  </borders>
  <cellStyleXfs count="2">
    <xf numFmtId="0" fontId="0" fillId="0" borderId="0"/>
    <xf numFmtId="164" fontId="21" fillId="0" borderId="0" applyFont="0" applyFill="0" applyBorder="0" applyAlignment="0" applyProtection="0"/>
  </cellStyleXfs>
  <cellXfs count="232">
    <xf numFmtId="0" fontId="0" fillId="0" borderId="0" xfId="0"/>
    <xf numFmtId="0" fontId="2" fillId="0" borderId="0" xfId="0" applyFont="1"/>
    <xf numFmtId="8" fontId="2" fillId="0" borderId="0" xfId="0" applyNumberFormat="1" applyFont="1" applyAlignment="1">
      <alignment horizontal="left" vertical="center"/>
    </xf>
    <xf numFmtId="0" fontId="2" fillId="0" borderId="3" xfId="0" applyFont="1" applyBorder="1" applyAlignment="1">
      <alignment horizontal="left" vertical="center"/>
    </xf>
    <xf numFmtId="0" fontId="2" fillId="0" borderId="3" xfId="0" applyFont="1" applyBorder="1"/>
    <xf numFmtId="0" fontId="3" fillId="0" borderId="0" xfId="0" applyFont="1" applyAlignment="1">
      <alignment horizontal="left" vertical="center"/>
    </xf>
    <xf numFmtId="0" fontId="3" fillId="0" borderId="0" xfId="0" applyFont="1" applyAlignment="1">
      <alignment horizontal="center" vertical="center"/>
    </xf>
    <xf numFmtId="0" fontId="2" fillId="0" borderId="7" xfId="0" applyFont="1" applyBorder="1"/>
    <xf numFmtId="0" fontId="2" fillId="0" borderId="10" xfId="0" applyFont="1" applyBorder="1"/>
    <xf numFmtId="0" fontId="2" fillId="0" borderId="11" xfId="0" applyFont="1" applyBorder="1"/>
    <xf numFmtId="8" fontId="2" fillId="0" borderId="8" xfId="0" applyNumberFormat="1" applyFont="1" applyBorder="1"/>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17" xfId="0" applyFont="1" applyBorder="1" applyAlignment="1">
      <alignment horizontal="center" vertical="center"/>
    </xf>
    <xf numFmtId="0" fontId="3" fillId="0" borderId="18" xfId="0" applyFont="1" applyBorder="1" applyAlignment="1">
      <alignment horizontal="left" vertical="center"/>
    </xf>
    <xf numFmtId="0" fontId="3" fillId="0" borderId="18" xfId="0" applyFont="1" applyBorder="1" applyAlignment="1">
      <alignment horizontal="center" vertical="center"/>
    </xf>
    <xf numFmtId="0" fontId="3" fillId="0" borderId="19" xfId="0" applyFont="1" applyBorder="1" applyAlignment="1">
      <alignment horizontal="center" vertical="center"/>
    </xf>
    <xf numFmtId="0" fontId="1" fillId="0" borderId="0" xfId="0" applyFont="1" applyAlignment="1">
      <alignment horizontal="left" vertical="center"/>
    </xf>
    <xf numFmtId="0" fontId="1" fillId="0" borderId="7" xfId="0" applyFont="1" applyBorder="1"/>
    <xf numFmtId="8" fontId="1" fillId="0" borderId="8" xfId="0" applyNumberFormat="1" applyFont="1" applyBorder="1"/>
    <xf numFmtId="0" fontId="6" fillId="0" borderId="7" xfId="0" applyFont="1" applyBorder="1" applyAlignment="1">
      <alignment horizontal="left" vertical="center"/>
    </xf>
    <xf numFmtId="8" fontId="6" fillId="0" borderId="8" xfId="0" applyNumberFormat="1" applyFont="1" applyBorder="1" applyAlignment="1">
      <alignment horizontal="center" vertical="center"/>
    </xf>
    <xf numFmtId="0" fontId="8" fillId="0" borderId="0" xfId="0" applyFont="1"/>
    <xf numFmtId="0" fontId="6" fillId="0" borderId="0" xfId="0" applyFont="1" applyAlignment="1">
      <alignment horizontal="right" vertical="center"/>
    </xf>
    <xf numFmtId="0" fontId="2" fillId="0" borderId="0" xfId="0" applyFont="1" applyAlignment="1">
      <alignment horizontal="right"/>
    </xf>
    <xf numFmtId="0" fontId="1" fillId="3" borderId="24" xfId="0" applyFont="1" applyFill="1" applyBorder="1"/>
    <xf numFmtId="0" fontId="1" fillId="3" borderId="23" xfId="0" applyFont="1" applyFill="1" applyBorder="1" applyAlignment="1">
      <alignment horizontal="left" vertical="center"/>
    </xf>
    <xf numFmtId="0" fontId="1" fillId="3" borderId="20" xfId="0" applyFont="1" applyFill="1" applyBorder="1"/>
    <xf numFmtId="8" fontId="1" fillId="3" borderId="22" xfId="0" applyNumberFormat="1" applyFont="1" applyFill="1" applyBorder="1"/>
    <xf numFmtId="0" fontId="1" fillId="4" borderId="9" xfId="0" applyFont="1" applyFill="1" applyBorder="1"/>
    <xf numFmtId="0" fontId="1" fillId="4" borderId="1" xfId="0" applyFont="1" applyFill="1" applyBorder="1" applyAlignment="1">
      <alignment horizontal="left" vertical="center"/>
    </xf>
    <xf numFmtId="0" fontId="1" fillId="4" borderId="2" xfId="0" applyFont="1" applyFill="1" applyBorder="1"/>
    <xf numFmtId="8" fontId="1" fillId="4" borderId="12" xfId="0" applyNumberFormat="1" applyFont="1" applyFill="1" applyBorder="1"/>
    <xf numFmtId="0" fontId="9" fillId="2" borderId="13" xfId="0" applyFont="1" applyFill="1" applyBorder="1"/>
    <xf numFmtId="0" fontId="9" fillId="2" borderId="14" xfId="0" applyFont="1" applyFill="1" applyBorder="1" applyAlignment="1">
      <alignment horizontal="left" vertical="center"/>
    </xf>
    <xf numFmtId="0" fontId="9" fillId="2" borderId="15" xfId="0" applyFont="1" applyFill="1" applyBorder="1"/>
    <xf numFmtId="8" fontId="9" fillId="2" borderId="16" xfId="0" applyNumberFormat="1" applyFont="1" applyFill="1" applyBorder="1"/>
    <xf numFmtId="0" fontId="0" fillId="5" borderId="0" xfId="0" applyFill="1"/>
    <xf numFmtId="0" fontId="11" fillId="0" borderId="0" xfId="0" applyFont="1"/>
    <xf numFmtId="0" fontId="13" fillId="0" borderId="0" xfId="0" applyFont="1"/>
    <xf numFmtId="0" fontId="14" fillId="0" borderId="0" xfId="0" applyFont="1"/>
    <xf numFmtId="20" fontId="16" fillId="0" borderId="0" xfId="0" applyNumberFormat="1" applyFont="1" applyAlignment="1">
      <alignment horizontal="center" vertical="center" wrapText="1"/>
    </xf>
    <xf numFmtId="164" fontId="0" fillId="0" borderId="0" xfId="1" applyFont="1" applyBorder="1"/>
    <xf numFmtId="20" fontId="16" fillId="0" borderId="0" xfId="0" applyNumberFormat="1" applyFont="1" applyAlignment="1">
      <alignment horizontal="center" vertical="top" wrapText="1"/>
    </xf>
    <xf numFmtId="0" fontId="23" fillId="0" borderId="0" xfId="0" applyFont="1"/>
    <xf numFmtId="0" fontId="24" fillId="0" borderId="0" xfId="0" applyFont="1" applyAlignment="1">
      <alignment horizontal="left"/>
    </xf>
    <xf numFmtId="0" fontId="0" fillId="5" borderId="0" xfId="0" applyFill="1" applyAlignment="1">
      <alignment horizontal="center" vertical="center"/>
    </xf>
    <xf numFmtId="0" fontId="0" fillId="0" borderId="0" xfId="0" applyAlignment="1">
      <alignment horizontal="center" vertical="center"/>
    </xf>
    <xf numFmtId="0" fontId="28" fillId="0" borderId="0" xfId="0" applyFont="1" applyAlignment="1">
      <alignment horizontal="left"/>
    </xf>
    <xf numFmtId="0" fontId="29" fillId="0" borderId="0" xfId="0" applyFont="1" applyAlignment="1">
      <alignment horizontal="left" readingOrder="1"/>
    </xf>
    <xf numFmtId="0" fontId="24" fillId="0" borderId="0" xfId="0" applyFont="1"/>
    <xf numFmtId="0" fontId="0" fillId="0" borderId="0" xfId="0" applyAlignment="1">
      <alignment wrapText="1"/>
    </xf>
    <xf numFmtId="0" fontId="19" fillId="0" borderId="0" xfId="0" applyFont="1" applyAlignment="1">
      <alignment horizontal="left" vertical="center" wrapText="1"/>
    </xf>
    <xf numFmtId="20" fontId="18" fillId="0" borderId="0" xfId="0" applyNumberFormat="1" applyFont="1" applyAlignment="1">
      <alignment horizontal="center" vertical="center" wrapText="1"/>
    </xf>
    <xf numFmtId="20" fontId="35" fillId="0" borderId="0" xfId="0" applyNumberFormat="1" applyFont="1" applyAlignment="1">
      <alignment horizontal="center" vertical="center" wrapText="1"/>
    </xf>
    <xf numFmtId="0" fontId="39" fillId="0" borderId="0" xfId="0" applyFont="1"/>
    <xf numFmtId="0" fontId="0" fillId="9" borderId="0" xfId="0" applyFill="1"/>
    <xf numFmtId="0" fontId="39" fillId="9" borderId="0" xfId="0" applyFont="1" applyFill="1"/>
    <xf numFmtId="0" fontId="41" fillId="9" borderId="0" xfId="0" applyFont="1" applyFill="1" applyAlignment="1">
      <alignment readingOrder="1"/>
    </xf>
    <xf numFmtId="20" fontId="35" fillId="9" borderId="0" xfId="0" applyNumberFormat="1" applyFont="1" applyFill="1" applyAlignment="1">
      <alignment horizontal="center" vertical="center" wrapText="1"/>
    </xf>
    <xf numFmtId="0" fontId="34" fillId="9" borderId="0" xfId="0" applyFont="1" applyFill="1" applyAlignment="1">
      <alignment horizontal="left" vertical="top" wrapText="1"/>
    </xf>
    <xf numFmtId="20" fontId="35" fillId="9" borderId="0" xfId="0" applyNumberFormat="1" applyFont="1" applyFill="1" applyAlignment="1">
      <alignment vertical="top" wrapText="1"/>
    </xf>
    <xf numFmtId="20" fontId="16" fillId="9" borderId="0" xfId="0" applyNumberFormat="1" applyFont="1" applyFill="1" applyAlignment="1">
      <alignment horizontal="center" vertical="center" wrapText="1"/>
    </xf>
    <xf numFmtId="0" fontId="17" fillId="9" borderId="0" xfId="0" quotePrefix="1" applyFont="1" applyFill="1" applyAlignment="1">
      <alignment vertical="center"/>
    </xf>
    <xf numFmtId="0" fontId="19" fillId="9" borderId="0" xfId="0" quotePrefix="1" applyFont="1" applyFill="1" applyAlignment="1">
      <alignment vertical="center"/>
    </xf>
    <xf numFmtId="20" fontId="16" fillId="0" borderId="0" xfId="0" applyNumberFormat="1" applyFont="1" applyAlignment="1">
      <alignment horizontal="center" vertical="center"/>
    </xf>
    <xf numFmtId="20" fontId="16" fillId="3" borderId="0" xfId="0" applyNumberFormat="1" applyFont="1" applyFill="1" applyAlignment="1">
      <alignment horizontal="center" vertical="center"/>
    </xf>
    <xf numFmtId="20" fontId="35" fillId="9" borderId="0" xfId="0" applyNumberFormat="1" applyFont="1" applyFill="1" applyAlignment="1">
      <alignment horizontal="center" vertical="center"/>
    </xf>
    <xf numFmtId="0" fontId="17" fillId="9" borderId="0" xfId="0" quotePrefix="1" applyFont="1" applyFill="1" applyAlignment="1">
      <alignment horizontal="left" vertical="center"/>
    </xf>
    <xf numFmtId="0" fontId="34" fillId="0" borderId="0" xfId="0" quotePrefix="1" applyFont="1" applyAlignment="1">
      <alignment vertical="center"/>
    </xf>
    <xf numFmtId="0" fontId="34" fillId="0" borderId="0" xfId="0" quotePrefix="1" applyFont="1" applyAlignment="1">
      <alignment vertical="center" wrapText="1"/>
    </xf>
    <xf numFmtId="0" fontId="17" fillId="0" borderId="0" xfId="0" quotePrefix="1" applyFont="1" applyAlignment="1">
      <alignment vertical="center"/>
    </xf>
    <xf numFmtId="0" fontId="22" fillId="0" borderId="0" xfId="0" applyFont="1" applyAlignment="1">
      <alignment vertical="center"/>
    </xf>
    <xf numFmtId="0" fontId="17" fillId="0" borderId="0" xfId="0" applyFont="1" applyAlignment="1">
      <alignment vertical="center"/>
    </xf>
    <xf numFmtId="0" fontId="19" fillId="0" borderId="0" xfId="0" quotePrefix="1" applyFont="1" applyAlignment="1">
      <alignment vertical="center"/>
    </xf>
    <xf numFmtId="0" fontId="16" fillId="0" borderId="0" xfId="0" applyFont="1" applyAlignment="1">
      <alignment horizontal="center" vertical="center" wrapText="1"/>
    </xf>
    <xf numFmtId="20" fontId="35" fillId="0" borderId="0" xfId="0" applyNumberFormat="1" applyFont="1" applyAlignment="1">
      <alignment vertical="top" wrapText="1"/>
    </xf>
    <xf numFmtId="0" fontId="17" fillId="9" borderId="0" xfId="0" applyFont="1" applyFill="1" applyAlignment="1">
      <alignment horizontal="left" vertical="center"/>
    </xf>
    <xf numFmtId="0" fontId="15" fillId="9" borderId="0" xfId="0" applyFont="1" applyFill="1" applyAlignment="1">
      <alignment readingOrder="1"/>
    </xf>
    <xf numFmtId="0" fontId="41" fillId="9" borderId="0" xfId="0" quotePrefix="1" applyFont="1" applyFill="1" applyAlignment="1">
      <alignment readingOrder="1"/>
    </xf>
    <xf numFmtId="0" fontId="30" fillId="9" borderId="0" xfId="0" applyFont="1" applyFill="1" applyAlignment="1">
      <alignment readingOrder="1"/>
    </xf>
    <xf numFmtId="0" fontId="33" fillId="9" borderId="0" xfId="0" applyFont="1" applyFill="1" applyAlignment="1">
      <alignment readingOrder="1"/>
    </xf>
    <xf numFmtId="0" fontId="33" fillId="9" borderId="0" xfId="0" quotePrefix="1" applyFont="1" applyFill="1" applyAlignment="1">
      <alignment readingOrder="1"/>
    </xf>
    <xf numFmtId="0" fontId="34" fillId="9" borderId="0" xfId="0" applyFont="1" applyFill="1" applyAlignment="1">
      <alignment horizontal="left" vertical="top"/>
    </xf>
    <xf numFmtId="0" fontId="17" fillId="9" borderId="0" xfId="0" quotePrefix="1" applyFont="1" applyFill="1" applyAlignment="1">
      <alignment vertical="top"/>
    </xf>
    <xf numFmtId="0" fontId="16" fillId="8" borderId="0" xfId="0" applyFont="1" applyFill="1" applyAlignment="1">
      <alignment horizontal="center" vertical="center"/>
    </xf>
    <xf numFmtId="20" fontId="16" fillId="9" borderId="0" xfId="0" applyNumberFormat="1" applyFont="1" applyFill="1" applyAlignment="1">
      <alignment horizontal="center" vertical="center"/>
    </xf>
    <xf numFmtId="20" fontId="35" fillId="0" borderId="0" xfId="0" applyNumberFormat="1" applyFont="1" applyAlignment="1">
      <alignment horizontal="center" vertical="center"/>
    </xf>
    <xf numFmtId="0" fontId="0" fillId="9" borderId="0" xfId="0" quotePrefix="1" applyFill="1"/>
    <xf numFmtId="0" fontId="0" fillId="0" borderId="0" xfId="0" quotePrefix="1"/>
    <xf numFmtId="0" fontId="11" fillId="9" borderId="0" xfId="0" applyFont="1" applyFill="1"/>
    <xf numFmtId="0" fontId="0" fillId="5" borderId="41" xfId="0" applyFill="1" applyBorder="1"/>
    <xf numFmtId="0" fontId="0" fillId="9" borderId="41" xfId="0" applyFill="1" applyBorder="1"/>
    <xf numFmtId="0" fontId="0" fillId="0" borderId="41" xfId="0" applyBorder="1"/>
    <xf numFmtId="0" fontId="37" fillId="5" borderId="0" xfId="0" applyFont="1" applyFill="1"/>
    <xf numFmtId="0" fontId="37" fillId="9" borderId="0" xfId="0" applyFont="1" applyFill="1"/>
    <xf numFmtId="0" fontId="53" fillId="0" borderId="0" xfId="0" applyFont="1" applyAlignment="1">
      <alignment vertical="center"/>
    </xf>
    <xf numFmtId="0" fontId="37" fillId="0" borderId="0" xfId="0" applyFont="1"/>
    <xf numFmtId="20" fontId="54" fillId="9" borderId="0" xfId="0" applyNumberFormat="1" applyFont="1" applyFill="1" applyAlignment="1">
      <alignment horizontal="center" vertical="center" wrapText="1"/>
    </xf>
    <xf numFmtId="20" fontId="54" fillId="3" borderId="0" xfId="0" applyNumberFormat="1" applyFont="1" applyFill="1" applyAlignment="1">
      <alignment horizontal="center" vertical="center"/>
    </xf>
    <xf numFmtId="0" fontId="16" fillId="0" borderId="0" xfId="0" applyFont="1" applyAlignment="1">
      <alignment horizontal="center" vertical="center"/>
    </xf>
    <xf numFmtId="0" fontId="17" fillId="9" borderId="0" xfId="0" quotePrefix="1" applyFont="1" applyFill="1" applyAlignment="1">
      <alignment horizontal="left" vertical="center"/>
    </xf>
    <xf numFmtId="0" fontId="46" fillId="6" borderId="42" xfId="0" applyFont="1" applyFill="1" applyBorder="1" applyAlignment="1">
      <alignment horizontal="center" vertical="center" wrapText="1" readingOrder="1"/>
    </xf>
    <xf numFmtId="0" fontId="46" fillId="6" borderId="43" xfId="0" applyFont="1" applyFill="1" applyBorder="1" applyAlignment="1">
      <alignment horizontal="center" vertical="center" wrapText="1" readingOrder="1"/>
    </xf>
    <xf numFmtId="0" fontId="46" fillId="6" borderId="29" xfId="0" applyFont="1" applyFill="1" applyBorder="1" applyAlignment="1">
      <alignment horizontal="center" vertical="center" wrapText="1" readingOrder="1"/>
    </xf>
    <xf numFmtId="0" fontId="46" fillId="6" borderId="35" xfId="0" applyFont="1" applyFill="1" applyBorder="1" applyAlignment="1">
      <alignment horizontal="center" vertical="center" wrapText="1" readingOrder="1"/>
    </xf>
    <xf numFmtId="0" fontId="46" fillId="6" borderId="34" xfId="0" applyFont="1" applyFill="1" applyBorder="1" applyAlignment="1">
      <alignment horizontal="center" vertical="center" wrapText="1" readingOrder="1"/>
    </xf>
    <xf numFmtId="0" fontId="43" fillId="9" borderId="0" xfId="0" applyFont="1" applyFill="1" applyAlignment="1">
      <alignment horizontal="left" vertical="top" wrapText="1"/>
    </xf>
    <xf numFmtId="0" fontId="17" fillId="9" borderId="0" xfId="0" quotePrefix="1" applyFont="1" applyFill="1" applyAlignment="1">
      <alignment horizontal="left" vertical="center" wrapText="1"/>
    </xf>
    <xf numFmtId="0" fontId="17" fillId="9" borderId="0" xfId="0" applyFont="1" applyFill="1" applyAlignment="1">
      <alignment horizontal="left" vertical="center" wrapText="1"/>
    </xf>
    <xf numFmtId="0" fontId="15" fillId="9" borderId="0" xfId="0" applyFont="1" applyFill="1" applyAlignment="1">
      <alignment horizontal="left" readingOrder="1"/>
    </xf>
    <xf numFmtId="0" fontId="41" fillId="9" borderId="0" xfId="0" applyFont="1" applyFill="1" applyAlignment="1">
      <alignment horizontal="left" readingOrder="1"/>
    </xf>
    <xf numFmtId="0" fontId="41" fillId="9" borderId="0" xfId="0" quotePrefix="1" applyFont="1" applyFill="1" applyAlignment="1">
      <alignment horizontal="left" readingOrder="1"/>
    </xf>
    <xf numFmtId="0" fontId="30" fillId="9" borderId="0" xfId="0" applyFont="1" applyFill="1" applyAlignment="1">
      <alignment horizontal="left" readingOrder="1"/>
    </xf>
    <xf numFmtId="0" fontId="33" fillId="9" borderId="0" xfId="0" applyFont="1" applyFill="1" applyAlignment="1">
      <alignment horizontal="left" readingOrder="1"/>
    </xf>
    <xf numFmtId="0" fontId="33" fillId="9" borderId="0" xfId="0" quotePrefix="1" applyFont="1" applyFill="1" applyAlignment="1">
      <alignment horizontal="left" readingOrder="1"/>
    </xf>
    <xf numFmtId="0" fontId="19" fillId="9" borderId="0" xfId="0" quotePrefix="1" applyFont="1" applyFill="1" applyAlignment="1">
      <alignment horizontal="left" vertical="center"/>
    </xf>
    <xf numFmtId="0" fontId="55" fillId="9" borderId="0" xfId="0" quotePrefix="1" applyFont="1" applyFill="1" applyAlignment="1">
      <alignment horizontal="left" vertical="center" wrapText="1"/>
    </xf>
    <xf numFmtId="0" fontId="42" fillId="9" borderId="0" xfId="0" applyFont="1" applyFill="1" applyAlignment="1">
      <alignment horizontal="left" vertical="top" wrapText="1"/>
    </xf>
    <xf numFmtId="0" fontId="22" fillId="0" borderId="0" xfId="0" applyFont="1" applyAlignment="1">
      <alignment horizontal="left" vertical="center"/>
    </xf>
    <xf numFmtId="0" fontId="32" fillId="9" borderId="0" xfId="0" applyFont="1" applyFill="1" applyAlignment="1">
      <alignment horizontal="left" vertical="top" wrapText="1" readingOrder="1"/>
    </xf>
    <xf numFmtId="0" fontId="46" fillId="6" borderId="36" xfId="0" applyFont="1" applyFill="1" applyBorder="1" applyAlignment="1">
      <alignment horizontal="center" vertical="center" wrapText="1" readingOrder="1"/>
    </xf>
    <xf numFmtId="0" fontId="58" fillId="9" borderId="0" xfId="0" quotePrefix="1" applyFont="1" applyFill="1" applyAlignment="1">
      <alignment horizontal="left" vertical="center"/>
    </xf>
    <xf numFmtId="0" fontId="26" fillId="5" borderId="29" xfId="0" applyFont="1" applyFill="1" applyBorder="1" applyAlignment="1">
      <alignment horizontal="center"/>
    </xf>
    <xf numFmtId="0" fontId="26" fillId="5" borderId="30" xfId="0" applyFont="1" applyFill="1" applyBorder="1" applyAlignment="1">
      <alignment horizontal="center"/>
    </xf>
    <xf numFmtId="0" fontId="26" fillId="5" borderId="31" xfId="0" applyFont="1" applyFill="1" applyBorder="1" applyAlignment="1">
      <alignment horizontal="center"/>
    </xf>
    <xf numFmtId="0" fontId="18" fillId="5" borderId="35" xfId="0" applyFont="1" applyFill="1" applyBorder="1" applyAlignment="1">
      <alignment horizontal="center"/>
    </xf>
    <xf numFmtId="0" fontId="18" fillId="5" borderId="34" xfId="0" applyFont="1" applyFill="1" applyBorder="1" applyAlignment="1">
      <alignment horizontal="center"/>
    </xf>
    <xf numFmtId="0" fontId="18" fillId="5" borderId="36" xfId="0" applyFont="1" applyFill="1" applyBorder="1" applyAlignment="1">
      <alignment horizontal="center"/>
    </xf>
    <xf numFmtId="0" fontId="18" fillId="5" borderId="40" xfId="0" applyFont="1" applyFill="1" applyBorder="1" applyAlignment="1">
      <alignment horizontal="center"/>
    </xf>
    <xf numFmtId="0" fontId="46" fillId="6" borderId="0" xfId="0" applyFont="1" applyFill="1" applyAlignment="1">
      <alignment horizontal="center" vertical="center" wrapText="1" readingOrder="1"/>
    </xf>
    <xf numFmtId="0" fontId="40" fillId="9" borderId="0" xfId="0" applyFont="1" applyFill="1" applyAlignment="1">
      <alignment horizontal="left"/>
    </xf>
    <xf numFmtId="0" fontId="12" fillId="9" borderId="0" xfId="0" applyFont="1" applyFill="1" applyAlignment="1">
      <alignment horizontal="left" vertical="center" readingOrder="1"/>
    </xf>
    <xf numFmtId="0" fontId="12" fillId="9" borderId="0" xfId="0" applyFont="1" applyFill="1" applyAlignment="1">
      <alignment horizontal="left" vertical="top" wrapText="1" readingOrder="1"/>
    </xf>
    <xf numFmtId="0" fontId="51" fillId="0" borderId="0" xfId="0" applyFont="1" applyAlignment="1">
      <alignment horizontal="left" vertical="top" wrapText="1"/>
    </xf>
    <xf numFmtId="0" fontId="46" fillId="6" borderId="46" xfId="0" applyFont="1" applyFill="1" applyBorder="1" applyAlignment="1">
      <alignment horizontal="center" vertical="center" wrapText="1" readingOrder="1"/>
    </xf>
    <xf numFmtId="0" fontId="46" fillId="6" borderId="47" xfId="0" applyFont="1" applyFill="1" applyBorder="1" applyAlignment="1">
      <alignment horizontal="center" vertical="center" wrapText="1" readingOrder="1"/>
    </xf>
    <xf numFmtId="0" fontId="32" fillId="9" borderId="0" xfId="0" applyFont="1" applyFill="1" applyAlignment="1">
      <alignment horizontal="left" vertical="top" readingOrder="1"/>
    </xf>
    <xf numFmtId="0" fontId="2" fillId="0" borderId="28" xfId="0" applyFont="1" applyBorder="1" applyAlignment="1">
      <alignment horizontal="center"/>
    </xf>
    <xf numFmtId="0" fontId="2" fillId="0" borderId="2" xfId="0" applyFont="1" applyBorder="1" applyAlignment="1">
      <alignment horizontal="center"/>
    </xf>
    <xf numFmtId="0" fontId="2" fillId="0" borderId="12" xfId="0" applyFont="1" applyBorder="1" applyAlignment="1">
      <alignment horizontal="center"/>
    </xf>
    <xf numFmtId="0" fontId="4" fillId="0" borderId="21" xfId="0" applyFont="1" applyBorder="1" applyAlignment="1">
      <alignment horizontal="center"/>
    </xf>
    <xf numFmtId="0" fontId="4" fillId="0" borderId="20" xfId="0" applyFont="1" applyBorder="1" applyAlignment="1">
      <alignment horizontal="center"/>
    </xf>
    <xf numFmtId="0" fontId="4" fillId="0" borderId="22" xfId="0" applyFont="1" applyBorder="1" applyAlignment="1">
      <alignment horizontal="center"/>
    </xf>
    <xf numFmtId="0" fontId="10" fillId="2" borderId="4" xfId="0" applyFont="1" applyFill="1" applyBorder="1" applyAlignment="1">
      <alignment horizontal="center"/>
    </xf>
    <xf numFmtId="0" fontId="10" fillId="2" borderId="5" xfId="0" applyFont="1" applyFill="1" applyBorder="1" applyAlignment="1">
      <alignment horizontal="center"/>
    </xf>
    <xf numFmtId="0" fontId="10" fillId="2" borderId="6" xfId="0" applyFont="1" applyFill="1" applyBorder="1" applyAlignment="1">
      <alignment horizontal="center"/>
    </xf>
    <xf numFmtId="0" fontId="2" fillId="0" borderId="25" xfId="0" applyFont="1" applyBorder="1" applyAlignment="1">
      <alignment horizontal="center"/>
    </xf>
    <xf numFmtId="0" fontId="2" fillId="0" borderId="26" xfId="0" applyFont="1" applyBorder="1" applyAlignment="1">
      <alignment horizontal="center"/>
    </xf>
    <xf numFmtId="0" fontId="2" fillId="0" borderId="27" xfId="0" applyFont="1" applyBorder="1" applyAlignment="1">
      <alignment horizontal="center"/>
    </xf>
    <xf numFmtId="0" fontId="2" fillId="0" borderId="21" xfId="0" applyFont="1" applyBorder="1" applyAlignment="1">
      <alignment horizontal="center"/>
    </xf>
    <xf numFmtId="0" fontId="2" fillId="0" borderId="20" xfId="0" applyFont="1" applyBorder="1" applyAlignment="1">
      <alignment horizontal="center"/>
    </xf>
    <xf numFmtId="0" fontId="2" fillId="0" borderId="22" xfId="0" applyFont="1" applyBorder="1" applyAlignment="1">
      <alignment horizontal="center"/>
    </xf>
    <xf numFmtId="0" fontId="27" fillId="5" borderId="35" xfId="0" applyFont="1" applyFill="1" applyBorder="1" applyAlignment="1">
      <alignment horizontal="center" vertical="center"/>
    </xf>
    <xf numFmtId="0" fontId="27" fillId="5" borderId="34" xfId="0" applyFont="1" applyFill="1" applyBorder="1" applyAlignment="1">
      <alignment horizontal="center" vertical="center"/>
    </xf>
    <xf numFmtId="0" fontId="27" fillId="5" borderId="36" xfId="0" applyFont="1" applyFill="1" applyBorder="1" applyAlignment="1">
      <alignment horizontal="center" vertical="center"/>
    </xf>
    <xf numFmtId="0" fontId="27" fillId="5" borderId="35" xfId="0" applyFont="1" applyFill="1" applyBorder="1" applyAlignment="1">
      <alignment horizontal="center" vertical="center" wrapText="1" readingOrder="1"/>
    </xf>
    <xf numFmtId="0" fontId="27" fillId="5" borderId="34" xfId="0" applyFont="1" applyFill="1" applyBorder="1" applyAlignment="1">
      <alignment horizontal="center" vertical="center" wrapText="1" readingOrder="1"/>
    </xf>
    <xf numFmtId="0" fontId="27" fillId="5" borderId="36" xfId="0" applyFont="1" applyFill="1" applyBorder="1" applyAlignment="1">
      <alignment horizontal="center" vertical="center" wrapText="1" readingOrder="1"/>
    </xf>
    <xf numFmtId="0" fontId="27" fillId="5" borderId="44" xfId="0" applyFont="1" applyFill="1" applyBorder="1" applyAlignment="1">
      <alignment horizontal="center" vertical="center"/>
    </xf>
    <xf numFmtId="0" fontId="27" fillId="5" borderId="45" xfId="0" applyFont="1" applyFill="1" applyBorder="1" applyAlignment="1">
      <alignment horizontal="center" vertical="center"/>
    </xf>
    <xf numFmtId="0" fontId="27" fillId="5" borderId="43" xfId="0" applyFont="1" applyFill="1" applyBorder="1" applyAlignment="1">
      <alignment horizontal="center" vertical="center"/>
    </xf>
    <xf numFmtId="0" fontId="26" fillId="7" borderId="31" xfId="0" applyFont="1" applyFill="1" applyBorder="1" applyAlignment="1">
      <alignment horizontal="center" vertical="center" wrapText="1"/>
    </xf>
    <xf numFmtId="0" fontId="27" fillId="5" borderId="42" xfId="0" applyFont="1" applyFill="1" applyBorder="1" applyAlignment="1">
      <alignment horizontal="center" vertical="center"/>
    </xf>
    <xf numFmtId="0" fontId="17" fillId="0" borderId="0" xfId="0" quotePrefix="1" applyFont="1" applyAlignment="1">
      <alignment horizontal="left" vertical="center" wrapText="1"/>
    </xf>
    <xf numFmtId="0" fontId="17" fillId="0" borderId="0" xfId="0" applyFont="1" applyAlignment="1">
      <alignment horizontal="left" vertical="center" wrapText="1"/>
    </xf>
    <xf numFmtId="0" fontId="19" fillId="0" borderId="0" xfId="0" quotePrefix="1" applyFont="1" applyAlignment="1">
      <alignment horizontal="left" vertical="center" wrapText="1"/>
    </xf>
    <xf numFmtId="0" fontId="19" fillId="0" borderId="0" xfId="0" applyFont="1" applyAlignment="1">
      <alignment horizontal="left" vertical="center" wrapText="1"/>
    </xf>
    <xf numFmtId="0" fontId="31" fillId="0" borderId="0" xfId="0" applyFont="1" applyAlignment="1">
      <alignment horizontal="left" vertical="top" wrapText="1"/>
    </xf>
    <xf numFmtId="0" fontId="27" fillId="5" borderId="35" xfId="0" applyFont="1" applyFill="1" applyBorder="1" applyAlignment="1">
      <alignment horizontal="left" vertical="center" wrapText="1"/>
    </xf>
    <xf numFmtId="0" fontId="27" fillId="5" borderId="34" xfId="0" applyFont="1" applyFill="1" applyBorder="1" applyAlignment="1">
      <alignment horizontal="left" vertical="center" wrapText="1"/>
    </xf>
    <xf numFmtId="0" fontId="27" fillId="5" borderId="36" xfId="0" applyFont="1" applyFill="1" applyBorder="1" applyAlignment="1">
      <alignment horizontal="left" vertical="center" wrapText="1"/>
    </xf>
    <xf numFmtId="0" fontId="27" fillId="5" borderId="35" xfId="0" quotePrefix="1" applyFont="1" applyFill="1" applyBorder="1" applyAlignment="1">
      <alignment horizontal="left" vertical="center" wrapText="1" readingOrder="1"/>
    </xf>
    <xf numFmtId="0" fontId="27" fillId="5" borderId="34" xfId="0" applyFont="1" applyFill="1" applyBorder="1" applyAlignment="1">
      <alignment horizontal="left" vertical="center" wrapText="1" readingOrder="1"/>
    </xf>
    <xf numFmtId="0" fontId="26" fillId="7" borderId="30" xfId="0" applyFont="1" applyFill="1" applyBorder="1" applyAlignment="1">
      <alignment horizontal="left" vertical="center"/>
    </xf>
    <xf numFmtId="0" fontId="26" fillId="7" borderId="31" xfId="0" applyFont="1" applyFill="1" applyBorder="1" applyAlignment="1">
      <alignment horizontal="center" vertical="center"/>
    </xf>
    <xf numFmtId="0" fontId="26" fillId="7" borderId="38" xfId="0" applyFont="1" applyFill="1" applyBorder="1" applyAlignment="1">
      <alignment horizontal="center" vertical="center"/>
    </xf>
    <xf numFmtId="0" fontId="27" fillId="5" borderId="33" xfId="0" applyFont="1" applyFill="1" applyBorder="1" applyAlignment="1">
      <alignment horizontal="left" vertical="center" wrapText="1"/>
    </xf>
    <xf numFmtId="0" fontId="27" fillId="5" borderId="32" xfId="0" applyFont="1" applyFill="1" applyBorder="1" applyAlignment="1">
      <alignment horizontal="left" vertical="center" wrapText="1"/>
    </xf>
    <xf numFmtId="0" fontId="27" fillId="5" borderId="37" xfId="0" applyFont="1" applyFill="1" applyBorder="1" applyAlignment="1">
      <alignment horizontal="left" vertical="center" wrapText="1"/>
    </xf>
    <xf numFmtId="0" fontId="27" fillId="5" borderId="33" xfId="0" quotePrefix="1" applyFont="1" applyFill="1" applyBorder="1" applyAlignment="1">
      <alignment horizontal="left" vertical="center" wrapText="1" readingOrder="1"/>
    </xf>
    <xf numFmtId="0" fontId="27" fillId="5" borderId="32" xfId="0" quotePrefix="1" applyFont="1" applyFill="1" applyBorder="1" applyAlignment="1">
      <alignment horizontal="left" vertical="center" wrapText="1" readingOrder="1"/>
    </xf>
    <xf numFmtId="0" fontId="20" fillId="0" borderId="0" xfId="0" applyFont="1" applyAlignment="1">
      <alignment horizontal="left" vertical="top" wrapText="1"/>
    </xf>
    <xf numFmtId="0" fontId="17" fillId="0" borderId="0" xfId="0" quotePrefix="1" applyFont="1" applyAlignment="1">
      <alignment horizontal="left" vertical="top" wrapText="1"/>
    </xf>
    <xf numFmtId="0" fontId="17" fillId="0" borderId="0" xfId="0" applyFont="1" applyAlignment="1">
      <alignment horizontal="left" vertical="top" wrapText="1"/>
    </xf>
    <xf numFmtId="0" fontId="30" fillId="0" borderId="0" xfId="0" applyFont="1" applyAlignment="1">
      <alignment horizontal="left" vertical="top" wrapText="1" readingOrder="1"/>
    </xf>
    <xf numFmtId="0" fontId="24" fillId="0" borderId="0" xfId="0" applyFont="1" applyAlignment="1">
      <alignment horizontal="left"/>
    </xf>
    <xf numFmtId="0" fontId="22" fillId="0" borderId="0" xfId="0" quotePrefix="1" applyFont="1" applyAlignment="1">
      <alignment horizontal="left" vertical="center" wrapText="1"/>
    </xf>
    <xf numFmtId="0" fontId="26" fillId="5" borderId="33" xfId="0" applyFont="1" applyFill="1" applyBorder="1" applyAlignment="1">
      <alignment horizontal="left" vertical="center" wrapText="1"/>
    </xf>
    <xf numFmtId="0" fontId="26" fillId="5" borderId="32" xfId="0" applyFont="1" applyFill="1" applyBorder="1" applyAlignment="1">
      <alignment horizontal="left" vertical="center" wrapText="1"/>
    </xf>
    <xf numFmtId="0" fontId="26" fillId="5" borderId="37" xfId="0" applyFont="1" applyFill="1" applyBorder="1" applyAlignment="1">
      <alignment horizontal="left" vertical="center" wrapText="1"/>
    </xf>
    <xf numFmtId="0" fontId="27" fillId="5" borderId="33" xfId="0" applyFont="1" applyFill="1" applyBorder="1" applyAlignment="1">
      <alignment horizontal="left" vertical="center" wrapText="1" readingOrder="1"/>
    </xf>
    <xf numFmtId="0" fontId="27" fillId="5" borderId="32" xfId="0" applyFont="1" applyFill="1" applyBorder="1" applyAlignment="1">
      <alignment horizontal="left" vertical="center" wrapText="1" readingOrder="1"/>
    </xf>
    <xf numFmtId="0" fontId="27" fillId="5" borderId="37" xfId="0" applyFont="1" applyFill="1" applyBorder="1" applyAlignment="1">
      <alignment horizontal="left" vertical="center" wrapText="1" readingOrder="1"/>
    </xf>
    <xf numFmtId="0" fontId="26" fillId="5" borderId="35" xfId="0" applyFont="1" applyFill="1" applyBorder="1" applyAlignment="1">
      <alignment horizontal="left" vertical="center" wrapText="1"/>
    </xf>
    <xf numFmtId="0" fontId="26" fillId="5" borderId="34" xfId="0" applyFont="1" applyFill="1" applyBorder="1" applyAlignment="1">
      <alignment horizontal="left" vertical="center" wrapText="1"/>
    </xf>
    <xf numFmtId="0" fontId="26" fillId="5" borderId="36" xfId="0" applyFont="1" applyFill="1" applyBorder="1" applyAlignment="1">
      <alignment horizontal="left" vertical="center" wrapText="1"/>
    </xf>
    <xf numFmtId="0" fontId="27" fillId="5" borderId="35" xfId="0" applyFont="1" applyFill="1" applyBorder="1" applyAlignment="1">
      <alignment horizontal="left" vertical="center" wrapText="1" readingOrder="1"/>
    </xf>
    <xf numFmtId="0" fontId="27" fillId="5" borderId="36" xfId="0" applyFont="1" applyFill="1" applyBorder="1" applyAlignment="1">
      <alignment horizontal="left" vertical="center" wrapText="1" readingOrder="1"/>
    </xf>
    <xf numFmtId="0" fontId="26" fillId="7" borderId="31" xfId="0" applyFont="1" applyFill="1" applyBorder="1" applyAlignment="1">
      <alignment horizontal="left" vertical="center"/>
    </xf>
    <xf numFmtId="0" fontId="26" fillId="7" borderId="38" xfId="0" applyFont="1" applyFill="1" applyBorder="1" applyAlignment="1">
      <alignment horizontal="left" vertical="center"/>
    </xf>
    <xf numFmtId="0" fontId="26" fillId="7" borderId="39" xfId="0" applyFont="1" applyFill="1" applyBorder="1" applyAlignment="1">
      <alignment horizontal="left" vertical="center"/>
    </xf>
    <xf numFmtId="0" fontId="26" fillId="7" borderId="31" xfId="0" applyFont="1" applyFill="1" applyBorder="1" applyAlignment="1">
      <alignment horizontal="left" vertical="center" wrapText="1"/>
    </xf>
    <xf numFmtId="0" fontId="26" fillId="7" borderId="38" xfId="0" applyFont="1" applyFill="1" applyBorder="1" applyAlignment="1">
      <alignment horizontal="left" vertical="center" wrapText="1"/>
    </xf>
    <xf numFmtId="0" fontId="27" fillId="5" borderId="44" xfId="0" applyFont="1" applyFill="1" applyBorder="1" applyAlignment="1">
      <alignment horizontal="center" vertical="center" wrapText="1"/>
    </xf>
    <xf numFmtId="0" fontId="36" fillId="5" borderId="41" xfId="0" applyFont="1" applyFill="1" applyBorder="1" applyAlignment="1">
      <alignment horizontal="center" vertical="center" wrapText="1"/>
    </xf>
    <xf numFmtId="0" fontId="36" fillId="5" borderId="45" xfId="0" applyFont="1" applyFill="1" applyBorder="1" applyAlignment="1">
      <alignment horizontal="center" vertical="center" wrapText="1"/>
    </xf>
    <xf numFmtId="0" fontId="27" fillId="5" borderId="44" xfId="0" applyFont="1" applyFill="1" applyBorder="1" applyAlignment="1">
      <alignment horizontal="center" vertical="center" wrapText="1" readingOrder="1"/>
    </xf>
    <xf numFmtId="0" fontId="36" fillId="5" borderId="41" xfId="0" applyFont="1" applyFill="1" applyBorder="1" applyAlignment="1">
      <alignment horizontal="center" vertical="center" wrapText="1" readingOrder="1"/>
    </xf>
    <xf numFmtId="0" fontId="36" fillId="5" borderId="45" xfId="0" applyFont="1" applyFill="1" applyBorder="1" applyAlignment="1">
      <alignment horizontal="center" vertical="center" wrapText="1" readingOrder="1"/>
    </xf>
    <xf numFmtId="0" fontId="36" fillId="5" borderId="42" xfId="0" applyFont="1" applyFill="1" applyBorder="1" applyAlignment="1">
      <alignment horizontal="center" vertical="center" wrapText="1"/>
    </xf>
    <xf numFmtId="0" fontId="36" fillId="5" borderId="43" xfId="0" applyFont="1" applyFill="1" applyBorder="1" applyAlignment="1">
      <alignment horizontal="center" vertical="center" wrapText="1"/>
    </xf>
    <xf numFmtId="0" fontId="36" fillId="5" borderId="29" xfId="0" applyFont="1" applyFill="1" applyBorder="1" applyAlignment="1">
      <alignment horizontal="center" vertical="center" wrapText="1"/>
    </xf>
    <xf numFmtId="0" fontId="29" fillId="0" borderId="0" xfId="0" applyFont="1" applyAlignment="1">
      <alignment horizontal="left" readingOrder="1"/>
    </xf>
    <xf numFmtId="0" fontId="27" fillId="5" borderId="29" xfId="0" applyFont="1" applyFill="1" applyBorder="1" applyAlignment="1">
      <alignment horizontal="center" vertical="center"/>
    </xf>
    <xf numFmtId="0" fontId="27" fillId="5" borderId="41" xfId="0" applyFont="1" applyFill="1" applyBorder="1" applyAlignment="1">
      <alignment horizontal="center" vertical="center"/>
    </xf>
    <xf numFmtId="0" fontId="27" fillId="5" borderId="41" xfId="0" applyFont="1" applyFill="1" applyBorder="1" applyAlignment="1">
      <alignment horizontal="center" vertical="center" wrapText="1" readingOrder="1"/>
    </xf>
    <xf numFmtId="0" fontId="27" fillId="5" borderId="45" xfId="0" applyFont="1" applyFill="1" applyBorder="1" applyAlignment="1">
      <alignment horizontal="center" vertical="center" wrapText="1" readingOrder="1"/>
    </xf>
    <xf numFmtId="0" fontId="36" fillId="5" borderId="35" xfId="0" applyFont="1" applyFill="1" applyBorder="1" applyAlignment="1">
      <alignment horizontal="center" vertical="center" wrapText="1"/>
    </xf>
    <xf numFmtId="0" fontId="36" fillId="5" borderId="34" xfId="0" applyFont="1" applyFill="1" applyBorder="1" applyAlignment="1">
      <alignment horizontal="center" vertical="center" wrapText="1"/>
    </xf>
    <xf numFmtId="0" fontId="36" fillId="5" borderId="36" xfId="0" applyFont="1" applyFill="1" applyBorder="1" applyAlignment="1">
      <alignment horizontal="center" vertical="center" wrapText="1"/>
    </xf>
    <xf numFmtId="0" fontId="27" fillId="5" borderId="33" xfId="0" applyFont="1" applyFill="1" applyBorder="1" applyAlignment="1">
      <alignment horizontal="center" vertical="center"/>
    </xf>
    <xf numFmtId="0" fontId="27" fillId="5" borderId="37" xfId="0" applyFont="1" applyFill="1" applyBorder="1" applyAlignment="1">
      <alignment horizontal="center" vertical="center"/>
    </xf>
    <xf numFmtId="0" fontId="26" fillId="7" borderId="30" xfId="0" applyFont="1" applyFill="1" applyBorder="1" applyAlignment="1">
      <alignment horizontal="center" vertical="center"/>
    </xf>
    <xf numFmtId="0" fontId="26" fillId="7" borderId="39" xfId="0" applyFont="1" applyFill="1" applyBorder="1" applyAlignment="1">
      <alignment horizontal="center" vertical="center" wrapText="1"/>
    </xf>
    <xf numFmtId="0" fontId="26" fillId="7" borderId="39" xfId="0" applyFont="1" applyFill="1" applyBorder="1" applyAlignment="1">
      <alignment horizontal="center" vertical="center"/>
    </xf>
    <xf numFmtId="0" fontId="26" fillId="7" borderId="38" xfId="0" applyFont="1" applyFill="1" applyBorder="1" applyAlignment="1">
      <alignment horizontal="center" vertical="center" wrapText="1"/>
    </xf>
    <xf numFmtId="0" fontId="45" fillId="9" borderId="0" xfId="0" applyFont="1" applyFill="1" applyAlignment="1">
      <alignment horizontal="left" vertical="center" readingOrder="1"/>
    </xf>
    <xf numFmtId="0" fontId="0" fillId="0" borderId="0" xfId="0" applyAlignment="1">
      <alignment horizontal="left" vertical="top" wrapText="1"/>
    </xf>
    <xf numFmtId="0" fontId="45" fillId="9" borderId="0" xfId="0" applyFont="1" applyFill="1" applyAlignment="1">
      <alignment horizontal="left" vertical="top" readingOrder="1"/>
    </xf>
    <xf numFmtId="0" fontId="42" fillId="9" borderId="0" xfId="0" applyFont="1" applyFill="1" applyAlignment="1">
      <alignment horizontal="left" vertical="top"/>
    </xf>
    <xf numFmtId="0" fontId="43" fillId="9" borderId="0" xfId="0" applyFont="1" applyFill="1" applyAlignment="1">
      <alignment horizontal="left" vertical="top"/>
    </xf>
  </cellXfs>
  <cellStyles count="2">
    <cellStyle name="Moeda" xfId="1" builtinId="4"/>
    <cellStyle name="Normal" xfId="0" builtinId="0"/>
  </cellStyles>
  <dxfs count="0"/>
  <tableStyles count="0" defaultTableStyle="TableStyleMedium2" defaultPivotStyle="PivotStyleLight16"/>
  <colors>
    <mruColors>
      <color rgb="FF009999"/>
      <color rgb="FF006666"/>
      <color rgb="FF007E7A"/>
      <color rgb="FFFFFF99"/>
      <color rgb="FFFFFFCC"/>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sv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2044700</xdr:colOff>
      <xdr:row>2</xdr:row>
      <xdr:rowOff>9525</xdr:rowOff>
    </xdr:from>
    <xdr:to>
      <xdr:col>6</xdr:col>
      <xdr:colOff>2921688</xdr:colOff>
      <xdr:row>3</xdr:row>
      <xdr:rowOff>69467</xdr:rowOff>
    </xdr:to>
    <xdr:pic>
      <xdr:nvPicPr>
        <xdr:cNvPr id="2" name="Imagem 1" descr="Ícone&#10;&#10;Descrição gerada automaticamente">
          <a:extLst>
            <a:ext uri="{FF2B5EF4-FFF2-40B4-BE49-F238E27FC236}">
              <a16:creationId xmlns:a16="http://schemas.microsoft.com/office/drawing/2014/main" id="{0F7AE71E-CEC9-464A-87A1-EE0178967F13}"/>
            </a:ext>
            <a:ext uri="{147F2762-F138-4A5C-976F-8EAC2B608ADB}">
              <a16:predDERef xmlns:a16="http://schemas.microsoft.com/office/drawing/2014/main" pred="{F5641598-AED2-47FA-9F42-612AEA1474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54700" y="1057275"/>
          <a:ext cx="876988" cy="964817"/>
        </a:xfrm>
        <a:prstGeom prst="rect">
          <a:avLst/>
        </a:prstGeom>
      </xdr:spPr>
    </xdr:pic>
    <xdr:clientData/>
  </xdr:twoCellAnchor>
  <xdr:twoCellAnchor editAs="oneCell">
    <xdr:from>
      <xdr:col>12</xdr:col>
      <xdr:colOff>1223962</xdr:colOff>
      <xdr:row>2</xdr:row>
      <xdr:rowOff>373062</xdr:rowOff>
    </xdr:from>
    <xdr:to>
      <xdr:col>14</xdr:col>
      <xdr:colOff>652461</xdr:colOff>
      <xdr:row>4</xdr:row>
      <xdr:rowOff>11112</xdr:rowOff>
    </xdr:to>
    <xdr:pic>
      <xdr:nvPicPr>
        <xdr:cNvPr id="3" name="Imagem 2">
          <a:extLst>
            <a:ext uri="{FF2B5EF4-FFF2-40B4-BE49-F238E27FC236}">
              <a16:creationId xmlns:a16="http://schemas.microsoft.com/office/drawing/2014/main" id="{0DD97BA5-C8B3-44DF-9BC3-D20248CB2D7F}"/>
            </a:ext>
            <a:ext uri="{147F2762-F138-4A5C-976F-8EAC2B608ADB}">
              <a16:predDERef xmlns:a16="http://schemas.microsoft.com/office/drawing/2014/main" pred="{0F7AE71E-CEC9-464A-87A1-EE0178967F1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7678400" y="1420812"/>
          <a:ext cx="1833562" cy="7334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17</xdr:col>
      <xdr:colOff>1564085</xdr:colOff>
      <xdr:row>2</xdr:row>
      <xdr:rowOff>794</xdr:rowOff>
    </xdr:from>
    <xdr:to>
      <xdr:col>18</xdr:col>
      <xdr:colOff>1696246</xdr:colOff>
      <xdr:row>3</xdr:row>
      <xdr:rowOff>59928</xdr:rowOff>
    </xdr:to>
    <xdr:pic>
      <xdr:nvPicPr>
        <xdr:cNvPr id="2" name="Imagem 3">
          <a:extLst>
            <a:ext uri="{FF2B5EF4-FFF2-40B4-BE49-F238E27FC236}">
              <a16:creationId xmlns:a16="http://schemas.microsoft.com/office/drawing/2014/main" id="{7C68AD00-45B3-41D0-833F-CD1980387429}"/>
            </a:ext>
            <a:ext uri="{147F2762-F138-4A5C-976F-8EAC2B608ADB}">
              <a16:predDERef xmlns:a16="http://schemas.microsoft.com/office/drawing/2014/main" pred="{2F6A89E1-9209-4BAE-8E53-795E72BFE9A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875898" y="1048544"/>
          <a:ext cx="1822848" cy="725884"/>
        </a:xfrm>
        <a:prstGeom prst="rect">
          <a:avLst/>
        </a:prstGeom>
      </xdr:spPr>
    </xdr:pic>
    <xdr:clientData/>
  </xdr:twoCellAnchor>
  <xdr:twoCellAnchor editAs="oneCell">
    <xdr:from>
      <xdr:col>1</xdr:col>
      <xdr:colOff>0</xdr:colOff>
      <xdr:row>56</xdr:row>
      <xdr:rowOff>28575</xdr:rowOff>
    </xdr:from>
    <xdr:to>
      <xdr:col>16</xdr:col>
      <xdr:colOff>100013</xdr:colOff>
      <xdr:row>79</xdr:row>
      <xdr:rowOff>180975</xdr:rowOff>
    </xdr:to>
    <xdr:pic>
      <xdr:nvPicPr>
        <xdr:cNvPr id="3" name="Imagem 2">
          <a:extLst>
            <a:ext uri="{FF2B5EF4-FFF2-40B4-BE49-F238E27FC236}">
              <a16:creationId xmlns:a16="http://schemas.microsoft.com/office/drawing/2014/main" id="{D7F76960-AFB2-47C8-8C24-9FDC388338A3}"/>
            </a:ext>
            <a:ext uri="{147F2762-F138-4A5C-976F-8EAC2B608ADB}">
              <a16:predDERef xmlns:a16="http://schemas.microsoft.com/office/drawing/2014/main" pred="{7C68AD00-45B3-41D0-833F-CD1980387429}"/>
            </a:ext>
          </a:extLst>
        </xdr:cNvPr>
        <xdr:cNvPicPr>
          <a:picLocks noChangeAspect="1"/>
        </xdr:cNvPicPr>
      </xdr:nvPicPr>
      <xdr:blipFill>
        <a:blip xmlns:r="http://schemas.openxmlformats.org/officeDocument/2006/relationships" r:embed="rId3"/>
        <a:stretch>
          <a:fillRect/>
        </a:stretch>
      </xdr:blipFill>
      <xdr:spPr>
        <a:xfrm>
          <a:off x="482600" y="63401575"/>
          <a:ext cx="17576800" cy="7924800"/>
        </a:xfrm>
        <a:prstGeom prst="rect">
          <a:avLst/>
        </a:prstGeom>
      </xdr:spPr>
    </xdr:pic>
    <xdr:clientData/>
  </xdr:twoCellAnchor>
  <xdr:twoCellAnchor editAs="oneCell">
    <xdr:from>
      <xdr:col>1</xdr:col>
      <xdr:colOff>476250</xdr:colOff>
      <xdr:row>2</xdr:row>
      <xdr:rowOff>381000</xdr:rowOff>
    </xdr:from>
    <xdr:to>
      <xdr:col>5</xdr:col>
      <xdr:colOff>309562</xdr:colOff>
      <xdr:row>3</xdr:row>
      <xdr:rowOff>61689</xdr:rowOff>
    </xdr:to>
    <xdr:pic>
      <xdr:nvPicPr>
        <xdr:cNvPr id="4" name="Gráfico 11">
          <a:extLst>
            <a:ext uri="{FF2B5EF4-FFF2-40B4-BE49-F238E27FC236}">
              <a16:creationId xmlns:a16="http://schemas.microsoft.com/office/drawing/2014/main" id="{F7D681AC-7F50-4C24-8C61-8B65BF040C8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46150" y="1441450"/>
          <a:ext cx="6967537" cy="334739"/>
        </a:xfrm>
        <a:prstGeom prst="rect">
          <a:avLst/>
        </a:prstGeom>
      </xdr:spPr>
    </xdr:pic>
    <xdr:clientData/>
  </xdr:twoCellAnchor>
  <xdr:oneCellAnchor>
    <xdr:from>
      <xdr:col>0</xdr:col>
      <xdr:colOff>-190500</xdr:colOff>
      <xdr:row>0</xdr:row>
      <xdr:rowOff>-1257300</xdr:rowOff>
    </xdr:from>
    <xdr:ext cx="0" cy="0"/>
    <xdr:pic>
      <xdr:nvPicPr>
        <xdr:cNvPr id="7" name="Gráfico 11">
          <a:extLst>
            <a:ext uri="{FF2B5EF4-FFF2-40B4-BE49-F238E27FC236}">
              <a16:creationId xmlns:a16="http://schemas.microsoft.com/office/drawing/2014/main" id="{064D07B0-6362-4E1E-B21C-A4CC1CFE56A4}"/>
            </a:ext>
            <a:ext uri="{147F2762-F138-4A5C-976F-8EAC2B608ADB}">
              <a16:predDERef xmlns:a16="http://schemas.microsoft.com/office/drawing/2014/main" pred="{D6466702-61C2-49CD-A95A-CCE87724494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90500" y="-1257300"/>
          <a:ext cx="0" cy="0"/>
        </a:xfrm>
        <a:prstGeom prst="rect">
          <a:avLst/>
        </a:prstGeom>
      </xdr:spPr>
    </xdr:pic>
    <xdr:clientData/>
  </xdr:oneCellAnchor>
  <xdr:oneCellAnchor>
    <xdr:from>
      <xdr:col>2</xdr:col>
      <xdr:colOff>0</xdr:colOff>
      <xdr:row>28</xdr:row>
      <xdr:rowOff>214308</xdr:rowOff>
    </xdr:from>
    <xdr:ext cx="9905999" cy="518045"/>
    <xdr:pic>
      <xdr:nvPicPr>
        <xdr:cNvPr id="8" name="Gráfico 11">
          <a:extLst>
            <a:ext uri="{FF2B5EF4-FFF2-40B4-BE49-F238E27FC236}">
              <a16:creationId xmlns:a16="http://schemas.microsoft.com/office/drawing/2014/main" id="{1C67036E-5BFA-44A1-8160-D679922971B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96950" y="17829208"/>
          <a:ext cx="9905999" cy="518045"/>
        </a:xfrm>
        <a:prstGeom prst="rect">
          <a:avLst/>
        </a:prstGeom>
      </xdr:spPr>
    </xdr:pic>
    <xdr:clientData/>
  </xdr:oneCellAnchor>
  <xdr:twoCellAnchor editAs="oneCell">
    <xdr:from>
      <xdr:col>2</xdr:col>
      <xdr:colOff>0</xdr:colOff>
      <xdr:row>34</xdr:row>
      <xdr:rowOff>428623</xdr:rowOff>
    </xdr:from>
    <xdr:to>
      <xdr:col>6</xdr:col>
      <xdr:colOff>294021</xdr:colOff>
      <xdr:row>40</xdr:row>
      <xdr:rowOff>428623</xdr:rowOff>
    </xdr:to>
    <xdr:pic>
      <xdr:nvPicPr>
        <xdr:cNvPr id="9" name="Imagem 8">
          <a:extLst>
            <a:ext uri="{FF2B5EF4-FFF2-40B4-BE49-F238E27FC236}">
              <a16:creationId xmlns:a16="http://schemas.microsoft.com/office/drawing/2014/main" id="{30C5C29A-958F-44CE-8A08-AEBCB81DB857}"/>
            </a:ext>
          </a:extLst>
        </xdr:cNvPr>
        <xdr:cNvPicPr>
          <a:picLocks noChangeAspect="1"/>
        </xdr:cNvPicPr>
      </xdr:nvPicPr>
      <xdr:blipFill>
        <a:blip xmlns:r="http://schemas.openxmlformats.org/officeDocument/2006/relationships" r:embed="rId6"/>
        <a:stretch>
          <a:fillRect/>
        </a:stretch>
      </xdr:blipFill>
      <xdr:spPr>
        <a:xfrm>
          <a:off x="996950" y="21847173"/>
          <a:ext cx="8056896" cy="2695575"/>
        </a:xfrm>
        <a:prstGeom prst="rect">
          <a:avLst/>
        </a:prstGeom>
      </xdr:spPr>
    </xdr:pic>
    <xdr:clientData/>
  </xdr:twoCellAnchor>
  <xdr:oneCellAnchor>
    <xdr:from>
      <xdr:col>2</xdr:col>
      <xdr:colOff>0</xdr:colOff>
      <xdr:row>42</xdr:row>
      <xdr:rowOff>214308</xdr:rowOff>
    </xdr:from>
    <xdr:ext cx="9905999" cy="518045"/>
    <xdr:pic>
      <xdr:nvPicPr>
        <xdr:cNvPr id="10" name="Gráfico 11">
          <a:extLst>
            <a:ext uri="{FF2B5EF4-FFF2-40B4-BE49-F238E27FC236}">
              <a16:creationId xmlns:a16="http://schemas.microsoft.com/office/drawing/2014/main" id="{860C84A7-04F1-48EE-A6BB-39E3B908917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96950" y="25214258"/>
          <a:ext cx="9905999" cy="518045"/>
        </a:xfrm>
        <a:prstGeom prst="rect">
          <a:avLst/>
        </a:prstGeom>
      </xdr:spPr>
    </xdr:pic>
    <xdr:clientData/>
  </xdr:oneCellAnchor>
  <xdr:twoCellAnchor editAs="oneCell">
    <xdr:from>
      <xdr:col>2</xdr:col>
      <xdr:colOff>0</xdr:colOff>
      <xdr:row>24</xdr:row>
      <xdr:rowOff>323850</xdr:rowOff>
    </xdr:from>
    <xdr:to>
      <xdr:col>8</xdr:col>
      <xdr:colOff>895349</xdr:colOff>
      <xdr:row>25</xdr:row>
      <xdr:rowOff>213245</xdr:rowOff>
    </xdr:to>
    <xdr:pic>
      <xdr:nvPicPr>
        <xdr:cNvPr id="11" name="Imagem 10">
          <a:extLst>
            <a:ext uri="{FF2B5EF4-FFF2-40B4-BE49-F238E27FC236}">
              <a16:creationId xmlns:a16="http://schemas.microsoft.com/office/drawing/2014/main" id="{7EC39A78-8930-414F-BF4E-00D277DFFA12}"/>
            </a:ext>
            <a:ext uri="{147F2762-F138-4A5C-976F-8EAC2B608ADB}">
              <a16:predDERef xmlns:a16="http://schemas.microsoft.com/office/drawing/2014/main" pred="{860C84A7-04F1-48EE-A6BB-39E3B908917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52500" y="13258800"/>
          <a:ext cx="9905999" cy="51804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211138</xdr:colOff>
      <xdr:row>2</xdr:row>
      <xdr:rowOff>9526</xdr:rowOff>
    </xdr:from>
    <xdr:to>
      <xdr:col>7</xdr:col>
      <xdr:colOff>1088126</xdr:colOff>
      <xdr:row>3</xdr:row>
      <xdr:rowOff>69468</xdr:rowOff>
    </xdr:to>
    <xdr:pic>
      <xdr:nvPicPr>
        <xdr:cNvPr id="2" name="Imagem 1" descr="Ícone&#10;&#10;Descrição gerada automaticamente">
          <a:extLst>
            <a:ext uri="{FF2B5EF4-FFF2-40B4-BE49-F238E27FC236}">
              <a16:creationId xmlns:a16="http://schemas.microsoft.com/office/drawing/2014/main" id="{A4E1D121-354D-4F74-9BF2-FB7BEF5DCFE1}"/>
            </a:ext>
            <a:ext uri="{147F2762-F138-4A5C-976F-8EAC2B608ADB}">
              <a16:predDERef xmlns:a16="http://schemas.microsoft.com/office/drawing/2014/main" pred="{F5641598-AED2-47FA-9F42-612AEA1474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45388" y="1057276"/>
          <a:ext cx="876988" cy="964817"/>
        </a:xfrm>
        <a:prstGeom prst="rect">
          <a:avLst/>
        </a:prstGeom>
      </xdr:spPr>
    </xdr:pic>
    <xdr:clientData/>
  </xdr:twoCellAnchor>
  <xdr:twoCellAnchor editAs="oneCell">
    <xdr:from>
      <xdr:col>12</xdr:col>
      <xdr:colOff>795337</xdr:colOff>
      <xdr:row>2</xdr:row>
      <xdr:rowOff>277812</xdr:rowOff>
    </xdr:from>
    <xdr:to>
      <xdr:col>14</xdr:col>
      <xdr:colOff>223837</xdr:colOff>
      <xdr:row>3</xdr:row>
      <xdr:rowOff>106362</xdr:rowOff>
    </xdr:to>
    <xdr:pic>
      <xdr:nvPicPr>
        <xdr:cNvPr id="3" name="Imagem 2">
          <a:extLst>
            <a:ext uri="{FF2B5EF4-FFF2-40B4-BE49-F238E27FC236}">
              <a16:creationId xmlns:a16="http://schemas.microsoft.com/office/drawing/2014/main" id="{EFC4A1B3-B376-48B0-B8CA-E17693BA13DE}"/>
            </a:ext>
            <a:ext uri="{147F2762-F138-4A5C-976F-8EAC2B608ADB}">
              <a16:predDERef xmlns:a16="http://schemas.microsoft.com/office/drawing/2014/main" pred="{0F7AE71E-CEC9-464A-87A1-EE0178967F1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7868900" y="1325562"/>
          <a:ext cx="1833562" cy="7334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17</xdr:col>
      <xdr:colOff>1564085</xdr:colOff>
      <xdr:row>2</xdr:row>
      <xdr:rowOff>794</xdr:rowOff>
    </xdr:from>
    <xdr:to>
      <xdr:col>18</xdr:col>
      <xdr:colOff>1696246</xdr:colOff>
      <xdr:row>3</xdr:row>
      <xdr:rowOff>59928</xdr:rowOff>
    </xdr:to>
    <xdr:pic>
      <xdr:nvPicPr>
        <xdr:cNvPr id="2" name="Imagem 3">
          <a:extLst>
            <a:ext uri="{FF2B5EF4-FFF2-40B4-BE49-F238E27FC236}">
              <a16:creationId xmlns:a16="http://schemas.microsoft.com/office/drawing/2014/main" id="{99E1D90E-F104-4B5D-A16B-09440E878F2D}"/>
            </a:ext>
            <a:ext uri="{147F2762-F138-4A5C-976F-8EAC2B608ADB}">
              <a16:predDERef xmlns:a16="http://schemas.microsoft.com/office/drawing/2014/main" pred="{2F6A89E1-9209-4BAE-8E53-795E72BFE9A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890185" y="1067594"/>
          <a:ext cx="1818086" cy="716359"/>
        </a:xfrm>
        <a:prstGeom prst="rect">
          <a:avLst/>
        </a:prstGeom>
      </xdr:spPr>
    </xdr:pic>
    <xdr:clientData/>
  </xdr:twoCellAnchor>
  <xdr:twoCellAnchor editAs="oneCell">
    <xdr:from>
      <xdr:col>1</xdr:col>
      <xdr:colOff>0</xdr:colOff>
      <xdr:row>56</xdr:row>
      <xdr:rowOff>28575</xdr:rowOff>
    </xdr:from>
    <xdr:to>
      <xdr:col>16</xdr:col>
      <xdr:colOff>100013</xdr:colOff>
      <xdr:row>79</xdr:row>
      <xdr:rowOff>180975</xdr:rowOff>
    </xdr:to>
    <xdr:pic>
      <xdr:nvPicPr>
        <xdr:cNvPr id="3" name="Imagem 2">
          <a:extLst>
            <a:ext uri="{FF2B5EF4-FFF2-40B4-BE49-F238E27FC236}">
              <a16:creationId xmlns:a16="http://schemas.microsoft.com/office/drawing/2014/main" id="{9484745F-0BBC-4F61-B44D-38E635808B5B}"/>
            </a:ext>
            <a:ext uri="{147F2762-F138-4A5C-976F-8EAC2B608ADB}">
              <a16:predDERef xmlns:a16="http://schemas.microsoft.com/office/drawing/2014/main" pred="{7C68AD00-45B3-41D0-833F-CD1980387429}"/>
            </a:ext>
          </a:extLst>
        </xdr:cNvPr>
        <xdr:cNvPicPr>
          <a:picLocks noChangeAspect="1"/>
        </xdr:cNvPicPr>
      </xdr:nvPicPr>
      <xdr:blipFill>
        <a:blip xmlns:r="http://schemas.openxmlformats.org/officeDocument/2006/relationships" r:embed="rId3"/>
        <a:stretch>
          <a:fillRect/>
        </a:stretch>
      </xdr:blipFill>
      <xdr:spPr>
        <a:xfrm>
          <a:off x="447675" y="46805850"/>
          <a:ext cx="16673513" cy="7810500"/>
        </a:xfrm>
        <a:prstGeom prst="rect">
          <a:avLst/>
        </a:prstGeom>
      </xdr:spPr>
    </xdr:pic>
    <xdr:clientData/>
  </xdr:twoCellAnchor>
  <xdr:twoCellAnchor editAs="oneCell">
    <xdr:from>
      <xdr:col>1</xdr:col>
      <xdr:colOff>476250</xdr:colOff>
      <xdr:row>2</xdr:row>
      <xdr:rowOff>381000</xdr:rowOff>
    </xdr:from>
    <xdr:to>
      <xdr:col>5</xdr:col>
      <xdr:colOff>309562</xdr:colOff>
      <xdr:row>3</xdr:row>
      <xdr:rowOff>61689</xdr:rowOff>
    </xdr:to>
    <xdr:pic>
      <xdr:nvPicPr>
        <xdr:cNvPr id="4" name="Gráfico 11">
          <a:extLst>
            <a:ext uri="{FF2B5EF4-FFF2-40B4-BE49-F238E27FC236}">
              <a16:creationId xmlns:a16="http://schemas.microsoft.com/office/drawing/2014/main" id="{01484347-38E2-4D5A-ABF1-64349A3E60A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23925" y="1447800"/>
          <a:ext cx="6643687" cy="337914"/>
        </a:xfrm>
        <a:prstGeom prst="rect">
          <a:avLst/>
        </a:prstGeom>
      </xdr:spPr>
    </xdr:pic>
    <xdr:clientData/>
  </xdr:twoCellAnchor>
  <xdr:oneCellAnchor>
    <xdr:from>
      <xdr:col>0</xdr:col>
      <xdr:colOff>-190500</xdr:colOff>
      <xdr:row>0</xdr:row>
      <xdr:rowOff>-1257300</xdr:rowOff>
    </xdr:from>
    <xdr:ext cx="0" cy="0"/>
    <xdr:pic>
      <xdr:nvPicPr>
        <xdr:cNvPr id="5" name="Gráfico 11">
          <a:extLst>
            <a:ext uri="{FF2B5EF4-FFF2-40B4-BE49-F238E27FC236}">
              <a16:creationId xmlns:a16="http://schemas.microsoft.com/office/drawing/2014/main" id="{F8CD700D-33B4-4F86-ABC1-F57295FA33F9}"/>
            </a:ext>
            <a:ext uri="{147F2762-F138-4A5C-976F-8EAC2B608ADB}">
              <a16:predDERef xmlns:a16="http://schemas.microsoft.com/office/drawing/2014/main" pred="{D6466702-61C2-49CD-A95A-CCE87724494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90500" y="-1257300"/>
          <a:ext cx="0" cy="0"/>
        </a:xfrm>
        <a:prstGeom prst="rect">
          <a:avLst/>
        </a:prstGeom>
      </xdr:spPr>
    </xdr:pic>
    <xdr:clientData/>
  </xdr:oneCellAnchor>
  <xdr:oneCellAnchor>
    <xdr:from>
      <xdr:col>2</xdr:col>
      <xdr:colOff>0</xdr:colOff>
      <xdr:row>28</xdr:row>
      <xdr:rowOff>214308</xdr:rowOff>
    </xdr:from>
    <xdr:ext cx="9905999" cy="518045"/>
    <xdr:pic>
      <xdr:nvPicPr>
        <xdr:cNvPr id="6" name="Gráfico 11">
          <a:extLst>
            <a:ext uri="{FF2B5EF4-FFF2-40B4-BE49-F238E27FC236}">
              <a16:creationId xmlns:a16="http://schemas.microsoft.com/office/drawing/2014/main" id="{E16EC46B-94C1-4954-A641-1A66FD6A37C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52500" y="12263433"/>
          <a:ext cx="9905999" cy="518045"/>
        </a:xfrm>
        <a:prstGeom prst="rect">
          <a:avLst/>
        </a:prstGeom>
      </xdr:spPr>
    </xdr:pic>
    <xdr:clientData/>
  </xdr:oneCellAnchor>
  <xdr:twoCellAnchor editAs="oneCell">
    <xdr:from>
      <xdr:col>2</xdr:col>
      <xdr:colOff>0</xdr:colOff>
      <xdr:row>34</xdr:row>
      <xdr:rowOff>428623</xdr:rowOff>
    </xdr:from>
    <xdr:to>
      <xdr:col>6</xdr:col>
      <xdr:colOff>294021</xdr:colOff>
      <xdr:row>40</xdr:row>
      <xdr:rowOff>428623</xdr:rowOff>
    </xdr:to>
    <xdr:pic>
      <xdr:nvPicPr>
        <xdr:cNvPr id="7" name="Imagem 6">
          <a:extLst>
            <a:ext uri="{FF2B5EF4-FFF2-40B4-BE49-F238E27FC236}">
              <a16:creationId xmlns:a16="http://schemas.microsoft.com/office/drawing/2014/main" id="{4CAA59A1-EFE4-4097-89C9-7B8E93E4E1AE}"/>
            </a:ext>
          </a:extLst>
        </xdr:cNvPr>
        <xdr:cNvPicPr>
          <a:picLocks noChangeAspect="1"/>
        </xdr:cNvPicPr>
      </xdr:nvPicPr>
      <xdr:blipFill>
        <a:blip xmlns:r="http://schemas.openxmlformats.org/officeDocument/2006/relationships" r:embed="rId6"/>
        <a:stretch>
          <a:fillRect/>
        </a:stretch>
      </xdr:blipFill>
      <xdr:spPr>
        <a:xfrm>
          <a:off x="952500" y="16259173"/>
          <a:ext cx="7704471" cy="2743200"/>
        </a:xfrm>
        <a:prstGeom prst="rect">
          <a:avLst/>
        </a:prstGeom>
      </xdr:spPr>
    </xdr:pic>
    <xdr:clientData/>
  </xdr:twoCellAnchor>
  <xdr:oneCellAnchor>
    <xdr:from>
      <xdr:col>2</xdr:col>
      <xdr:colOff>0</xdr:colOff>
      <xdr:row>42</xdr:row>
      <xdr:rowOff>214308</xdr:rowOff>
    </xdr:from>
    <xdr:ext cx="9905999" cy="518045"/>
    <xdr:pic>
      <xdr:nvPicPr>
        <xdr:cNvPr id="8" name="Gráfico 11">
          <a:extLst>
            <a:ext uri="{FF2B5EF4-FFF2-40B4-BE49-F238E27FC236}">
              <a16:creationId xmlns:a16="http://schemas.microsoft.com/office/drawing/2014/main" id="{397552D5-1A9B-4A31-A058-12576A4EDCA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52500" y="19626258"/>
          <a:ext cx="9905999" cy="518045"/>
        </a:xfrm>
        <a:prstGeom prst="rect">
          <a:avLst/>
        </a:prstGeom>
      </xdr:spPr>
    </xdr:pic>
    <xdr:clientData/>
  </xdr:oneCellAnchor>
  <xdr:twoCellAnchor editAs="oneCell">
    <xdr:from>
      <xdr:col>2</xdr:col>
      <xdr:colOff>0</xdr:colOff>
      <xdr:row>24</xdr:row>
      <xdr:rowOff>323850</xdr:rowOff>
    </xdr:from>
    <xdr:to>
      <xdr:col>8</xdr:col>
      <xdr:colOff>895349</xdr:colOff>
      <xdr:row>25</xdr:row>
      <xdr:rowOff>213245</xdr:rowOff>
    </xdr:to>
    <xdr:pic>
      <xdr:nvPicPr>
        <xdr:cNvPr id="9" name="Imagem 10">
          <a:extLst>
            <a:ext uri="{FF2B5EF4-FFF2-40B4-BE49-F238E27FC236}">
              <a16:creationId xmlns:a16="http://schemas.microsoft.com/office/drawing/2014/main" id="{953D67A2-C691-48E3-B6C6-0806DB51C26E}"/>
            </a:ext>
            <a:ext uri="{147F2762-F138-4A5C-976F-8EAC2B608ADB}">
              <a16:predDERef xmlns:a16="http://schemas.microsoft.com/office/drawing/2014/main" pred="{860C84A7-04F1-48EE-A6BB-39E3B908917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52500" y="10363200"/>
          <a:ext cx="9905999" cy="518045"/>
        </a:xfrm>
        <a:prstGeom prst="rect">
          <a:avLst/>
        </a:prstGeom>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89537-F3F4-48AB-94F3-72B6772736BA}">
  <dimension ref="B1:E26"/>
  <sheetViews>
    <sheetView workbookViewId="0">
      <selection activeCell="B6" sqref="B6:E7"/>
    </sheetView>
  </sheetViews>
  <sheetFormatPr defaultRowHeight="15" x14ac:dyDescent="0.25"/>
  <cols>
    <col min="1" max="1" width="3.140625" customWidth="1"/>
    <col min="2" max="2" width="38" customWidth="1"/>
    <col min="3" max="3" width="12.28515625" bestFit="1" customWidth="1"/>
    <col min="4" max="4" width="4" customWidth="1"/>
    <col min="5" max="5" width="14" customWidth="1"/>
  </cols>
  <sheetData>
    <row r="1" spans="2:5" ht="39" customHeight="1" x14ac:dyDescent="0.35">
      <c r="B1" s="144" t="s">
        <v>0</v>
      </c>
      <c r="C1" s="145"/>
      <c r="D1" s="145"/>
      <c r="E1" s="146"/>
    </row>
    <row r="2" spans="2:5" x14ac:dyDescent="0.25">
      <c r="B2" s="147"/>
      <c r="C2" s="148"/>
      <c r="D2" s="148"/>
      <c r="E2" s="149"/>
    </row>
    <row r="3" spans="2:5" ht="18.75" x14ac:dyDescent="0.3">
      <c r="B3" s="141" t="s">
        <v>1</v>
      </c>
      <c r="C3" s="142"/>
      <c r="D3" s="142"/>
      <c r="E3" s="143"/>
    </row>
    <row r="4" spans="2:5" x14ac:dyDescent="0.25">
      <c r="B4" s="13" t="s">
        <v>2</v>
      </c>
      <c r="C4" s="14" t="s">
        <v>3</v>
      </c>
      <c r="D4" s="15" t="s">
        <v>4</v>
      </c>
      <c r="E4" s="16" t="s">
        <v>5</v>
      </c>
    </row>
    <row r="5" spans="2:5" x14ac:dyDescent="0.25">
      <c r="B5" s="8"/>
      <c r="C5" s="3"/>
      <c r="D5" s="4"/>
      <c r="E5" s="9"/>
    </row>
    <row r="6" spans="2:5" x14ac:dyDescent="0.25">
      <c r="B6" s="7"/>
      <c r="C6" s="2"/>
      <c r="D6" s="1"/>
      <c r="E6" s="10"/>
    </row>
    <row r="7" spans="2:5" x14ac:dyDescent="0.25">
      <c r="B7" s="7"/>
      <c r="C7" s="2"/>
      <c r="D7" s="1"/>
      <c r="E7" s="10"/>
    </row>
    <row r="8" spans="2:5" x14ac:dyDescent="0.25">
      <c r="B8" s="7"/>
      <c r="C8" s="2"/>
      <c r="D8" s="1"/>
      <c r="E8" s="10"/>
    </row>
    <row r="9" spans="2:5" x14ac:dyDescent="0.25">
      <c r="B9" s="7"/>
      <c r="C9" s="2"/>
      <c r="D9" s="1"/>
      <c r="E9" s="10"/>
    </row>
    <row r="10" spans="2:5" x14ac:dyDescent="0.25">
      <c r="B10" s="7"/>
      <c r="C10" s="2"/>
      <c r="D10" s="1"/>
      <c r="E10" s="10"/>
    </row>
    <row r="11" spans="2:5" x14ac:dyDescent="0.25">
      <c r="B11" s="18" t="s">
        <v>6</v>
      </c>
      <c r="C11" s="17"/>
      <c r="D11" s="22">
        <v>0.75</v>
      </c>
      <c r="E11" s="19">
        <f>SUM(E6:E9)</f>
        <v>0</v>
      </c>
    </row>
    <row r="12" spans="2:5" x14ac:dyDescent="0.25">
      <c r="B12" s="25" t="s">
        <v>7</v>
      </c>
      <c r="C12" s="26"/>
      <c r="D12" s="27"/>
      <c r="E12" s="28">
        <f>QUOTIENT(E11,D11)</f>
        <v>0</v>
      </c>
    </row>
    <row r="13" spans="2:5" x14ac:dyDescent="0.25">
      <c r="B13" s="150"/>
      <c r="C13" s="151"/>
      <c r="D13" s="151"/>
      <c r="E13" s="152"/>
    </row>
    <row r="14" spans="2:5" ht="18.75" x14ac:dyDescent="0.3">
      <c r="B14" s="141" t="s">
        <v>8</v>
      </c>
      <c r="C14" s="142"/>
      <c r="D14" s="142"/>
      <c r="E14" s="143"/>
    </row>
    <row r="15" spans="2:5" x14ac:dyDescent="0.25">
      <c r="B15" s="13" t="s">
        <v>2</v>
      </c>
      <c r="C15" s="14" t="s">
        <v>3</v>
      </c>
      <c r="D15" s="15" t="s">
        <v>4</v>
      </c>
      <c r="E15" s="16" t="s">
        <v>5</v>
      </c>
    </row>
    <row r="16" spans="2:5" x14ac:dyDescent="0.25">
      <c r="B16" s="11"/>
      <c r="C16" s="5"/>
      <c r="D16" s="6"/>
      <c r="E16" s="12"/>
    </row>
    <row r="17" spans="2:5" x14ac:dyDescent="0.25">
      <c r="B17" s="20"/>
      <c r="C17" s="42"/>
      <c r="D17" s="23"/>
      <c r="E17" s="21"/>
    </row>
    <row r="18" spans="2:5" x14ac:dyDescent="0.25">
      <c r="B18" s="20"/>
      <c r="C18" s="42"/>
      <c r="D18" s="23"/>
      <c r="E18" s="21"/>
    </row>
    <row r="19" spans="2:5" x14ac:dyDescent="0.25">
      <c r="B19" s="7"/>
      <c r="C19" s="2"/>
      <c r="D19" s="24"/>
      <c r="E19" s="10"/>
    </row>
    <row r="20" spans="2:5" x14ac:dyDescent="0.25">
      <c r="B20" s="7"/>
      <c r="C20" s="2"/>
      <c r="D20" s="24"/>
      <c r="E20" s="10"/>
    </row>
    <row r="21" spans="2:5" x14ac:dyDescent="0.25">
      <c r="B21" s="7"/>
      <c r="C21" s="2"/>
      <c r="D21" s="24"/>
      <c r="E21" s="10"/>
    </row>
    <row r="22" spans="2:5" x14ac:dyDescent="0.25">
      <c r="B22" s="7"/>
      <c r="C22" s="2"/>
      <c r="D22" s="24"/>
      <c r="E22" s="10"/>
    </row>
    <row r="23" spans="2:5" x14ac:dyDescent="0.25">
      <c r="B23" s="7"/>
      <c r="C23" s="2"/>
      <c r="D23" s="1"/>
      <c r="E23" s="10"/>
    </row>
    <row r="24" spans="2:5" x14ac:dyDescent="0.25">
      <c r="B24" s="29" t="s">
        <v>9</v>
      </c>
      <c r="C24" s="30"/>
      <c r="D24" s="31"/>
      <c r="E24" s="32">
        <f>SUM(E17:E22)</f>
        <v>0</v>
      </c>
    </row>
    <row r="25" spans="2:5" x14ac:dyDescent="0.25">
      <c r="B25" s="138"/>
      <c r="C25" s="139"/>
      <c r="D25" s="139"/>
      <c r="E25" s="140"/>
    </row>
    <row r="26" spans="2:5" ht="15.75" thickBot="1" x14ac:dyDescent="0.3">
      <c r="B26" s="33" t="s">
        <v>10</v>
      </c>
      <c r="C26" s="34"/>
      <c r="D26" s="35"/>
      <c r="E26" s="36">
        <f>SUM(E12,E24)</f>
        <v>0</v>
      </c>
    </row>
  </sheetData>
  <mergeCells count="6">
    <mergeCell ref="B25:E25"/>
    <mergeCell ref="B3:E3"/>
    <mergeCell ref="B1:E1"/>
    <mergeCell ref="B14:E14"/>
    <mergeCell ref="B2:E2"/>
    <mergeCell ref="B13:E13"/>
  </mergeCells>
  <pageMargins left="0.511811024" right="0.511811024" top="0.78740157499999996" bottom="0.78740157499999996" header="0.31496062000000002" footer="0.31496062000000002"/>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C457E-0810-4BEF-9ADC-46250F9BE9F9}">
  <dimension ref="A1:R115"/>
  <sheetViews>
    <sheetView showGridLines="0" topLeftCell="A5" zoomScale="40" zoomScaleNormal="40" workbookViewId="0">
      <selection activeCell="A3" sqref="A3:R114"/>
    </sheetView>
  </sheetViews>
  <sheetFormatPr defaultRowHeight="15.75" x14ac:dyDescent="0.25"/>
  <cols>
    <col min="1" max="1" width="6.7109375" customWidth="1"/>
    <col min="2" max="2" width="7.5703125" customWidth="1"/>
    <col min="3" max="3" width="17" style="55" customWidth="1"/>
    <col min="4" max="4" width="19.28515625" hidden="1" customWidth="1"/>
    <col min="5" max="5" width="8.5703125" customWidth="1"/>
    <col min="6" max="6" width="17" customWidth="1"/>
    <col min="7" max="7" width="51.140625" customWidth="1"/>
    <col min="8" max="8" width="16.5703125" style="55" customWidth="1"/>
    <col min="9" max="9" width="7.42578125" customWidth="1"/>
    <col min="10" max="10" width="16.5703125" style="55" customWidth="1"/>
    <col min="11" max="11" width="84.42578125" customWidth="1"/>
    <col min="12" max="12" width="16.5703125" style="55" customWidth="1"/>
    <col min="13" max="13" width="19.5703125" customWidth="1"/>
    <col min="14" max="14" width="16.5703125" style="55" customWidth="1"/>
    <col min="15" max="15" width="21.42578125" customWidth="1"/>
    <col min="16" max="16" width="0.85546875" customWidth="1"/>
    <col min="17" max="17" width="8.5703125" customWidth="1"/>
    <col min="18" max="18" width="17" customWidth="1"/>
    <col min="19" max="19" width="36" customWidth="1"/>
    <col min="20" max="20" width="16.5703125" customWidth="1"/>
    <col min="21" max="21" width="7.42578125" customWidth="1"/>
    <col min="22" max="22" width="16.5703125" customWidth="1"/>
    <col min="23" max="23" width="36" customWidth="1"/>
    <col min="24" max="24" width="16.5703125" customWidth="1"/>
    <col min="25" max="25" width="7.42578125" customWidth="1"/>
    <col min="26" max="26" width="16.5703125" customWidth="1"/>
    <col min="27" max="27" width="36" customWidth="1"/>
  </cols>
  <sheetData>
    <row r="1" spans="1:16" x14ac:dyDescent="0.25">
      <c r="A1" s="37"/>
      <c r="B1" s="56"/>
      <c r="C1" s="57"/>
      <c r="D1" s="56"/>
      <c r="E1" s="56"/>
      <c r="F1" s="56"/>
      <c r="G1" s="56"/>
      <c r="H1" s="57"/>
      <c r="I1" s="56"/>
      <c r="J1" s="57"/>
      <c r="K1" s="56"/>
      <c r="L1" s="57"/>
      <c r="M1" s="56"/>
      <c r="N1" s="57"/>
      <c r="O1" s="56"/>
      <c r="P1" s="56"/>
    </row>
    <row r="2" spans="1:16" ht="68.25" customHeight="1" x14ac:dyDescent="0.25">
      <c r="A2" s="37"/>
      <c r="B2" s="56"/>
      <c r="C2" s="57"/>
      <c r="D2" s="56"/>
      <c r="E2" s="56"/>
      <c r="F2" s="56"/>
      <c r="G2" s="56"/>
      <c r="H2" s="57"/>
      <c r="I2" s="56"/>
      <c r="J2" s="57"/>
      <c r="K2" s="56"/>
      <c r="L2" s="57"/>
      <c r="M2" s="56"/>
      <c r="N2" s="57"/>
      <c r="O2" s="56"/>
      <c r="P2" s="56"/>
    </row>
    <row r="3" spans="1:16" ht="72" x14ac:dyDescent="1.05">
      <c r="A3" s="37"/>
      <c r="B3" s="56"/>
      <c r="C3" s="131" t="s">
        <v>47</v>
      </c>
      <c r="D3" s="131"/>
      <c r="E3" s="131"/>
      <c r="F3" s="131"/>
      <c r="G3" s="131"/>
      <c r="H3" s="131"/>
      <c r="I3" s="131"/>
      <c r="J3" s="131"/>
      <c r="K3" s="131"/>
      <c r="L3" s="131"/>
      <c r="M3" s="131"/>
      <c r="N3" s="131"/>
      <c r="O3" s="131"/>
      <c r="P3" s="56"/>
    </row>
    <row r="4" spans="1:16" ht="15" customHeight="1" x14ac:dyDescent="0.25">
      <c r="A4" s="37"/>
      <c r="B4" s="56"/>
      <c r="C4" s="57"/>
      <c r="D4" s="56"/>
      <c r="E4" s="56"/>
      <c r="F4" s="56"/>
      <c r="G4" s="56"/>
      <c r="H4" s="57"/>
      <c r="I4" s="56"/>
      <c r="J4" s="57"/>
      <c r="K4" s="56"/>
      <c r="L4" s="57"/>
      <c r="M4" s="56"/>
      <c r="N4" s="57"/>
      <c r="O4" s="56"/>
      <c r="P4" s="56"/>
    </row>
    <row r="5" spans="1:16" ht="56.25" customHeight="1" x14ac:dyDescent="0.25">
      <c r="A5" s="37"/>
      <c r="B5" s="56"/>
      <c r="C5" s="132" t="s">
        <v>156</v>
      </c>
      <c r="D5" s="132"/>
      <c r="E5" s="132"/>
      <c r="F5" s="132"/>
      <c r="G5" s="132"/>
      <c r="H5" s="132"/>
      <c r="I5" s="132"/>
      <c r="J5" s="132"/>
      <c r="K5" s="132"/>
      <c r="L5" s="132"/>
      <c r="M5" s="132"/>
      <c r="N5" s="132"/>
      <c r="O5" s="132"/>
      <c r="P5" s="56"/>
    </row>
    <row r="6" spans="1:16" ht="15" customHeight="1" x14ac:dyDescent="0.25">
      <c r="A6" s="37"/>
      <c r="B6" s="56"/>
      <c r="C6" s="57"/>
      <c r="D6" s="56"/>
      <c r="E6" s="56"/>
      <c r="F6" s="56"/>
      <c r="G6" s="56"/>
      <c r="H6" s="57"/>
      <c r="I6" s="56"/>
      <c r="J6" s="57"/>
      <c r="K6" s="56"/>
      <c r="L6" s="57"/>
      <c r="M6" s="56"/>
      <c r="N6" s="57"/>
      <c r="O6" s="56"/>
      <c r="P6" s="56"/>
    </row>
    <row r="7" spans="1:16" ht="56.25" customHeight="1" x14ac:dyDescent="0.25">
      <c r="A7" s="37"/>
      <c r="B7" s="56"/>
      <c r="C7" s="132" t="s">
        <v>157</v>
      </c>
      <c r="D7" s="132"/>
      <c r="E7" s="132"/>
      <c r="F7" s="132"/>
      <c r="G7" s="132"/>
      <c r="H7" s="132"/>
      <c r="I7" s="132"/>
      <c r="J7" s="132"/>
      <c r="K7" s="132"/>
      <c r="L7" s="132"/>
      <c r="M7" s="132"/>
      <c r="N7" s="132"/>
      <c r="O7" s="132"/>
      <c r="P7" s="56"/>
    </row>
    <row r="8" spans="1:16" ht="15" customHeight="1" x14ac:dyDescent="0.25">
      <c r="A8" s="37"/>
      <c r="B8" s="56"/>
      <c r="C8" s="57"/>
      <c r="D8" s="56"/>
      <c r="E8" s="56"/>
      <c r="F8" s="56"/>
      <c r="G8" s="56"/>
      <c r="H8" s="57"/>
      <c r="I8" s="56"/>
      <c r="J8" s="57"/>
      <c r="K8" s="56"/>
      <c r="L8" s="57"/>
      <c r="M8" s="56"/>
      <c r="N8" s="57"/>
      <c r="O8" s="56"/>
      <c r="P8" s="56"/>
    </row>
    <row r="9" spans="1:16" ht="239.25" customHeight="1" x14ac:dyDescent="0.25">
      <c r="A9" s="37"/>
      <c r="B9" s="56"/>
      <c r="C9" s="134" t="s">
        <v>195</v>
      </c>
      <c r="D9" s="134"/>
      <c r="E9" s="134"/>
      <c r="F9" s="134"/>
      <c r="G9" s="134"/>
      <c r="H9" s="134"/>
      <c r="I9" s="134"/>
      <c r="J9" s="134"/>
      <c r="K9" s="134"/>
      <c r="L9" s="134"/>
      <c r="M9" s="134"/>
      <c r="N9" s="134"/>
      <c r="O9" s="134"/>
      <c r="P9" s="134"/>
    </row>
    <row r="10" spans="1:16" ht="15" customHeight="1" x14ac:dyDescent="0.25">
      <c r="A10" s="37"/>
      <c r="B10" s="56"/>
      <c r="C10" s="57"/>
      <c r="D10" s="56"/>
      <c r="E10" s="56"/>
      <c r="F10" s="56"/>
      <c r="G10" s="56"/>
      <c r="H10" s="57"/>
      <c r="I10" s="56"/>
      <c r="J10" s="57"/>
      <c r="K10" s="56"/>
      <c r="L10" s="57"/>
      <c r="M10" s="56"/>
      <c r="N10" s="57"/>
      <c r="O10" s="56"/>
      <c r="P10" s="56"/>
    </row>
    <row r="11" spans="1:16" ht="56.25" customHeight="1" x14ac:dyDescent="0.25">
      <c r="A11" s="37"/>
      <c r="B11" s="56"/>
      <c r="C11" s="132" t="s">
        <v>146</v>
      </c>
      <c r="D11" s="132"/>
      <c r="E11" s="132"/>
      <c r="F11" s="132"/>
      <c r="G11" s="132"/>
      <c r="H11" s="132"/>
      <c r="I11" s="132"/>
      <c r="J11" s="132"/>
      <c r="K11" s="132"/>
      <c r="L11" s="132"/>
      <c r="M11" s="132"/>
      <c r="N11" s="132"/>
      <c r="O11" s="132"/>
      <c r="P11" s="56"/>
    </row>
    <row r="12" spans="1:16" ht="15" customHeight="1" x14ac:dyDescent="0.25">
      <c r="A12" s="37"/>
      <c r="B12" s="56"/>
      <c r="C12" s="57"/>
      <c r="D12" s="56"/>
      <c r="E12" s="56"/>
      <c r="F12" s="56"/>
      <c r="G12" s="56"/>
      <c r="H12" s="57"/>
      <c r="I12" s="56"/>
      <c r="J12" s="57"/>
      <c r="K12" s="56"/>
      <c r="L12" s="57"/>
      <c r="M12" s="56"/>
      <c r="N12" s="57"/>
      <c r="O12" s="56"/>
      <c r="P12" s="56"/>
    </row>
    <row r="13" spans="1:16" ht="56.25" customHeight="1" x14ac:dyDescent="0.25">
      <c r="A13" s="37"/>
      <c r="B13" s="56"/>
      <c r="C13" s="132" t="s">
        <v>196</v>
      </c>
      <c r="D13" s="132"/>
      <c r="E13" s="132"/>
      <c r="F13" s="132"/>
      <c r="G13" s="132"/>
      <c r="H13" s="132"/>
      <c r="I13" s="132"/>
      <c r="J13" s="132"/>
      <c r="K13" s="132"/>
      <c r="L13" s="132"/>
      <c r="M13" s="132"/>
      <c r="N13" s="132"/>
      <c r="O13" s="132"/>
      <c r="P13" s="56"/>
    </row>
    <row r="14" spans="1:16" ht="15" customHeight="1" x14ac:dyDescent="0.25">
      <c r="A14" s="37"/>
      <c r="B14" s="56"/>
      <c r="C14" s="57"/>
      <c r="D14" s="56"/>
      <c r="E14" s="56"/>
      <c r="F14" s="56"/>
      <c r="G14" s="56"/>
      <c r="H14" s="57"/>
      <c r="I14" s="56"/>
      <c r="J14" s="57"/>
      <c r="K14" s="56"/>
      <c r="L14" s="57"/>
      <c r="M14" s="56"/>
      <c r="N14" s="57"/>
      <c r="O14" s="56"/>
      <c r="P14" s="56"/>
    </row>
    <row r="15" spans="1:16" ht="56.25" customHeight="1" x14ac:dyDescent="0.25">
      <c r="A15" s="37"/>
      <c r="B15" s="56"/>
      <c r="C15" s="132" t="s">
        <v>86</v>
      </c>
      <c r="D15" s="132"/>
      <c r="E15" s="132"/>
      <c r="F15" s="132"/>
      <c r="G15" s="132"/>
      <c r="H15" s="132"/>
      <c r="I15" s="132"/>
      <c r="J15" s="132"/>
      <c r="K15" s="132"/>
      <c r="L15" s="132"/>
      <c r="M15" s="132"/>
      <c r="N15" s="132"/>
      <c r="O15" s="132"/>
      <c r="P15" s="56"/>
    </row>
    <row r="16" spans="1:16" ht="15" customHeight="1" x14ac:dyDescent="0.25">
      <c r="A16" s="37"/>
      <c r="B16" s="56"/>
      <c r="C16" s="57"/>
      <c r="D16" s="56"/>
      <c r="E16" s="56"/>
      <c r="F16" s="56"/>
      <c r="G16" s="56"/>
      <c r="H16" s="57"/>
      <c r="I16" s="56"/>
      <c r="J16" s="57"/>
      <c r="K16" s="56"/>
      <c r="L16" s="57"/>
      <c r="M16" s="56"/>
      <c r="N16" s="57"/>
      <c r="O16" s="56"/>
      <c r="P16" s="56"/>
    </row>
    <row r="17" spans="1:16" ht="46.5" x14ac:dyDescent="0.25">
      <c r="A17" s="37"/>
      <c r="B17" s="56"/>
      <c r="C17" s="137" t="s">
        <v>48</v>
      </c>
      <c r="D17" s="137"/>
      <c r="E17" s="137"/>
      <c r="F17" s="137"/>
      <c r="G17" s="137"/>
      <c r="H17" s="137"/>
      <c r="I17" s="137"/>
      <c r="J17" s="137"/>
      <c r="K17" s="137"/>
      <c r="L17" s="137"/>
      <c r="M17" s="137"/>
      <c r="N17" s="137"/>
      <c r="O17" s="137"/>
      <c r="P17" s="56"/>
    </row>
    <row r="18" spans="1:16" ht="48.75" customHeight="1" thickBot="1" x14ac:dyDescent="0.55000000000000004">
      <c r="A18" s="37"/>
      <c r="B18" s="56"/>
      <c r="C18" s="123" t="s">
        <v>49</v>
      </c>
      <c r="D18" s="123"/>
      <c r="E18" s="123"/>
      <c r="F18" s="123"/>
      <c r="G18" s="123"/>
      <c r="H18" s="124" t="s">
        <v>50</v>
      </c>
      <c r="I18" s="124"/>
      <c r="J18" s="124"/>
      <c r="K18" s="124"/>
      <c r="L18" s="125" t="s">
        <v>51</v>
      </c>
      <c r="M18" s="125"/>
      <c r="N18" s="125"/>
      <c r="O18" s="125"/>
      <c r="P18" s="56"/>
    </row>
    <row r="19" spans="1:16" ht="48.75" customHeight="1" x14ac:dyDescent="0.25">
      <c r="A19" s="37"/>
      <c r="B19" s="56"/>
      <c r="C19" s="102" t="s">
        <v>128</v>
      </c>
      <c r="D19" s="103"/>
      <c r="E19" s="103"/>
      <c r="F19" s="103"/>
      <c r="G19" s="104"/>
      <c r="H19" s="105" t="s">
        <v>164</v>
      </c>
      <c r="I19" s="106"/>
      <c r="J19" s="106"/>
      <c r="K19" s="106"/>
      <c r="L19" s="105" t="s">
        <v>117</v>
      </c>
      <c r="M19" s="106"/>
      <c r="N19" s="106"/>
      <c r="O19" s="106"/>
      <c r="P19" s="56"/>
    </row>
    <row r="20" spans="1:16" ht="48.75" customHeight="1" x14ac:dyDescent="0.25">
      <c r="A20" s="37"/>
      <c r="B20" s="56"/>
      <c r="C20" s="105" t="s">
        <v>135</v>
      </c>
      <c r="D20" s="106"/>
      <c r="E20" s="106"/>
      <c r="F20" s="106"/>
      <c r="G20" s="121"/>
      <c r="H20" s="105" t="s">
        <v>165</v>
      </c>
      <c r="I20" s="106"/>
      <c r="J20" s="106"/>
      <c r="K20" s="106"/>
      <c r="L20" s="105" t="s">
        <v>117</v>
      </c>
      <c r="M20" s="106"/>
      <c r="N20" s="106"/>
      <c r="O20" s="106"/>
      <c r="P20" s="56"/>
    </row>
    <row r="21" spans="1:16" ht="48.75" customHeight="1" x14ac:dyDescent="0.25">
      <c r="A21" s="37"/>
      <c r="B21" s="56"/>
      <c r="C21" s="135" t="s">
        <v>143</v>
      </c>
      <c r="D21" s="130"/>
      <c r="E21" s="130"/>
      <c r="F21" s="130"/>
      <c r="G21" s="136"/>
      <c r="H21" s="105" t="s">
        <v>166</v>
      </c>
      <c r="I21" s="106"/>
      <c r="J21" s="106"/>
      <c r="K21" s="106"/>
      <c r="L21" s="105" t="s">
        <v>117</v>
      </c>
      <c r="M21" s="106"/>
      <c r="N21" s="106"/>
      <c r="O21" s="106"/>
      <c r="P21" s="56"/>
    </row>
    <row r="22" spans="1:16" s="93" customFormat="1" ht="48.75" customHeight="1" x14ac:dyDescent="0.25">
      <c r="A22" s="91"/>
      <c r="B22" s="92"/>
      <c r="C22" s="105" t="s">
        <v>138</v>
      </c>
      <c r="D22" s="106"/>
      <c r="E22" s="106"/>
      <c r="F22" s="106"/>
      <c r="G22" s="121"/>
      <c r="H22" s="105" t="s">
        <v>167</v>
      </c>
      <c r="I22" s="106"/>
      <c r="J22" s="106"/>
      <c r="K22" s="106"/>
      <c r="L22" s="105" t="s">
        <v>117</v>
      </c>
      <c r="M22" s="106"/>
      <c r="N22" s="106"/>
      <c r="O22" s="106"/>
      <c r="P22" s="92"/>
    </row>
    <row r="23" spans="1:16" ht="48.75" hidden="1" customHeight="1" x14ac:dyDescent="0.25">
      <c r="A23" s="37"/>
      <c r="B23" s="56"/>
      <c r="C23" s="130" t="s">
        <v>118</v>
      </c>
      <c r="D23" s="130"/>
      <c r="E23" s="130"/>
      <c r="F23" s="130"/>
      <c r="G23" s="130"/>
      <c r="H23" s="105" t="s">
        <v>147</v>
      </c>
      <c r="I23" s="106"/>
      <c r="J23" s="106"/>
      <c r="K23" s="106"/>
      <c r="L23" s="105" t="s">
        <v>145</v>
      </c>
      <c r="M23" s="106"/>
      <c r="N23" s="106"/>
      <c r="O23" s="106"/>
      <c r="P23" s="56"/>
    </row>
    <row r="24" spans="1:16" ht="48.75" hidden="1" customHeight="1" x14ac:dyDescent="0.25">
      <c r="A24" s="37"/>
      <c r="B24" s="56"/>
      <c r="C24" s="102" t="s">
        <v>201</v>
      </c>
      <c r="D24" s="103"/>
      <c r="E24" s="103"/>
      <c r="F24" s="103"/>
      <c r="G24" s="104"/>
      <c r="H24" s="105" t="s">
        <v>203</v>
      </c>
      <c r="I24" s="106"/>
      <c r="J24" s="106"/>
      <c r="K24" s="106"/>
      <c r="L24" s="105" t="s">
        <v>154</v>
      </c>
      <c r="M24" s="106"/>
      <c r="N24" s="106"/>
      <c r="O24" s="106"/>
      <c r="P24" s="56"/>
    </row>
    <row r="25" spans="1:16" ht="48.75" hidden="1" customHeight="1" x14ac:dyDescent="0.25">
      <c r="A25" s="37"/>
      <c r="B25" s="56"/>
      <c r="C25" s="105" t="s">
        <v>148</v>
      </c>
      <c r="D25" s="106"/>
      <c r="E25" s="106"/>
      <c r="F25" s="106"/>
      <c r="G25" s="121"/>
      <c r="H25" s="105" t="s">
        <v>152</v>
      </c>
      <c r="I25" s="106"/>
      <c r="J25" s="106"/>
      <c r="K25" s="106"/>
      <c r="L25" s="105" t="s">
        <v>154</v>
      </c>
      <c r="M25" s="106"/>
      <c r="N25" s="106"/>
      <c r="O25" s="106"/>
      <c r="P25" s="56"/>
    </row>
    <row r="26" spans="1:16" ht="48.75" hidden="1" customHeight="1" x14ac:dyDescent="0.25">
      <c r="A26" s="37"/>
      <c r="B26" s="56"/>
      <c r="C26" s="102" t="s">
        <v>149</v>
      </c>
      <c r="D26" s="103"/>
      <c r="E26" s="103"/>
      <c r="F26" s="103"/>
      <c r="G26" s="104"/>
      <c r="H26" s="105" t="s">
        <v>153</v>
      </c>
      <c r="I26" s="106"/>
      <c r="J26" s="106"/>
      <c r="K26" s="106"/>
      <c r="L26" s="105" t="s">
        <v>154</v>
      </c>
      <c r="M26" s="106"/>
      <c r="N26" s="106"/>
      <c r="O26" s="106"/>
      <c r="P26" s="56"/>
    </row>
    <row r="27" spans="1:16" ht="48.75" hidden="1" customHeight="1" x14ac:dyDescent="0.25">
      <c r="A27" s="37"/>
      <c r="B27" s="56"/>
      <c r="C27" s="102" t="s">
        <v>200</v>
      </c>
      <c r="D27" s="103"/>
      <c r="E27" s="103"/>
      <c r="F27" s="103"/>
      <c r="G27" s="104"/>
      <c r="H27" s="105" t="s">
        <v>202</v>
      </c>
      <c r="I27" s="106"/>
      <c r="J27" s="106"/>
      <c r="K27" s="106"/>
      <c r="L27" s="105" t="s">
        <v>154</v>
      </c>
      <c r="M27" s="106"/>
      <c r="N27" s="106"/>
      <c r="O27" s="106"/>
      <c r="P27" s="56"/>
    </row>
    <row r="28" spans="1:16" ht="50.25" customHeight="1" x14ac:dyDescent="0.25">
      <c r="A28" s="37"/>
      <c r="B28" s="56"/>
      <c r="C28" s="90"/>
      <c r="D28" s="56"/>
      <c r="E28" s="56"/>
      <c r="F28" s="56"/>
      <c r="G28" s="56"/>
      <c r="H28" s="90"/>
      <c r="I28" s="56"/>
      <c r="J28" s="90"/>
      <c r="K28" s="56"/>
      <c r="L28" s="90"/>
      <c r="M28" s="56"/>
      <c r="N28" s="90"/>
      <c r="O28" s="56"/>
      <c r="P28" s="56"/>
    </row>
    <row r="29" spans="1:16" ht="60" customHeight="1" x14ac:dyDescent="0.25">
      <c r="A29" s="37"/>
      <c r="B29" s="56"/>
      <c r="C29" s="133" t="s">
        <v>52</v>
      </c>
      <c r="D29" s="133"/>
      <c r="E29" s="133"/>
      <c r="F29" s="133"/>
      <c r="G29" s="133"/>
      <c r="H29" s="133"/>
      <c r="I29" s="133"/>
      <c r="J29" s="133"/>
      <c r="K29" s="133"/>
      <c r="L29" s="133"/>
      <c r="M29" s="133"/>
      <c r="N29" s="133"/>
      <c r="O29" s="133"/>
      <c r="P29" s="56"/>
    </row>
    <row r="30" spans="1:16" ht="50.25" customHeight="1" x14ac:dyDescent="0.55000000000000004">
      <c r="A30" s="37"/>
      <c r="B30" s="56"/>
      <c r="C30" s="126" t="s">
        <v>49</v>
      </c>
      <c r="D30" s="127"/>
      <c r="E30" s="127"/>
      <c r="F30" s="127"/>
      <c r="G30" s="128"/>
      <c r="H30" s="129" t="s">
        <v>50</v>
      </c>
      <c r="I30" s="129"/>
      <c r="J30" s="129"/>
      <c r="K30" s="129"/>
      <c r="L30" s="129" t="s">
        <v>51</v>
      </c>
      <c r="M30" s="129"/>
      <c r="N30" s="129"/>
      <c r="O30" s="129"/>
      <c r="P30" s="56"/>
    </row>
    <row r="31" spans="1:16" ht="48.75" customHeight="1" x14ac:dyDescent="0.25">
      <c r="A31" s="37"/>
      <c r="B31" s="56"/>
      <c r="C31" s="105" t="s">
        <v>191</v>
      </c>
      <c r="D31" s="106"/>
      <c r="E31" s="106"/>
      <c r="F31" s="106"/>
      <c r="G31" s="121"/>
      <c r="H31" s="105" t="s">
        <v>194</v>
      </c>
      <c r="I31" s="106"/>
      <c r="J31" s="106"/>
      <c r="K31" s="106"/>
      <c r="L31" s="105" t="s">
        <v>182</v>
      </c>
      <c r="M31" s="106"/>
      <c r="N31" s="106"/>
      <c r="O31" s="106"/>
      <c r="P31" s="56"/>
    </row>
    <row r="32" spans="1:16" ht="48.75" customHeight="1" x14ac:dyDescent="0.25">
      <c r="A32" s="37"/>
      <c r="B32" s="56"/>
      <c r="C32" s="105" t="s">
        <v>192</v>
      </c>
      <c r="D32" s="106"/>
      <c r="E32" s="106"/>
      <c r="F32" s="106"/>
      <c r="G32" s="121"/>
      <c r="H32" s="105" t="s">
        <v>193</v>
      </c>
      <c r="I32" s="106"/>
      <c r="J32" s="106"/>
      <c r="K32" s="106"/>
      <c r="L32" s="105" t="s">
        <v>182</v>
      </c>
      <c r="M32" s="106"/>
      <c r="N32" s="106"/>
      <c r="O32" s="106"/>
      <c r="P32" s="56"/>
    </row>
    <row r="33" spans="1:16" ht="48.75" customHeight="1" x14ac:dyDescent="0.25">
      <c r="A33" s="37"/>
      <c r="B33" s="56"/>
      <c r="C33" s="105" t="s">
        <v>229</v>
      </c>
      <c r="D33" s="106"/>
      <c r="E33" s="106"/>
      <c r="F33" s="106"/>
      <c r="G33" s="121"/>
      <c r="H33" s="105" t="s">
        <v>230</v>
      </c>
      <c r="I33" s="106"/>
      <c r="J33" s="106"/>
      <c r="K33" s="106"/>
      <c r="L33" s="105" t="s">
        <v>182</v>
      </c>
      <c r="M33" s="106"/>
      <c r="N33" s="106"/>
      <c r="O33" s="106"/>
      <c r="P33" s="56"/>
    </row>
    <row r="34" spans="1:16" ht="48.75" customHeight="1" x14ac:dyDescent="0.25">
      <c r="A34" s="37"/>
      <c r="B34" s="56"/>
      <c r="C34" s="105" t="s">
        <v>180</v>
      </c>
      <c r="D34" s="106"/>
      <c r="E34" s="106"/>
      <c r="F34" s="106"/>
      <c r="G34" s="121"/>
      <c r="H34" s="105" t="s">
        <v>181</v>
      </c>
      <c r="I34" s="106"/>
      <c r="J34" s="106"/>
      <c r="K34" s="106"/>
      <c r="L34" s="105" t="s">
        <v>182</v>
      </c>
      <c r="M34" s="106"/>
      <c r="N34" s="106"/>
      <c r="O34" s="106"/>
      <c r="P34" s="56"/>
    </row>
    <row r="35" spans="1:16" ht="48.75" customHeight="1" x14ac:dyDescent="0.25">
      <c r="A35" s="37"/>
      <c r="B35" s="56"/>
      <c r="C35" s="105" t="s">
        <v>113</v>
      </c>
      <c r="D35" s="106"/>
      <c r="E35" s="106"/>
      <c r="F35" s="106"/>
      <c r="G35" s="121"/>
      <c r="H35" s="105" t="s">
        <v>174</v>
      </c>
      <c r="I35" s="106"/>
      <c r="J35" s="106"/>
      <c r="K35" s="106"/>
      <c r="L35" s="105" t="s">
        <v>117</v>
      </c>
      <c r="M35" s="106"/>
      <c r="N35" s="106"/>
      <c r="O35" s="106"/>
      <c r="P35" s="56"/>
    </row>
    <row r="36" spans="1:16" ht="48.75" customHeight="1" x14ac:dyDescent="0.25">
      <c r="A36" s="37"/>
      <c r="B36" s="56"/>
      <c r="C36" s="105" t="s">
        <v>115</v>
      </c>
      <c r="D36" s="106"/>
      <c r="E36" s="106"/>
      <c r="F36" s="106"/>
      <c r="G36" s="121"/>
      <c r="H36" s="105" t="s">
        <v>142</v>
      </c>
      <c r="I36" s="106"/>
      <c r="J36" s="106"/>
      <c r="K36" s="106"/>
      <c r="L36" s="105" t="s">
        <v>117</v>
      </c>
      <c r="M36" s="106"/>
      <c r="N36" s="106"/>
      <c r="O36" s="106"/>
      <c r="P36" s="56"/>
    </row>
    <row r="37" spans="1:16" ht="48.75" customHeight="1" x14ac:dyDescent="0.25">
      <c r="A37" s="37"/>
      <c r="B37" s="56"/>
      <c r="C37" s="105" t="s">
        <v>114</v>
      </c>
      <c r="D37" s="106"/>
      <c r="E37" s="106"/>
      <c r="F37" s="106"/>
      <c r="G37" s="121"/>
      <c r="H37" s="105" t="s">
        <v>116</v>
      </c>
      <c r="I37" s="106"/>
      <c r="J37" s="106"/>
      <c r="K37" s="106"/>
      <c r="L37" s="105" t="s">
        <v>177</v>
      </c>
      <c r="M37" s="106"/>
      <c r="N37" s="106"/>
      <c r="O37" s="106"/>
      <c r="P37" s="56"/>
    </row>
    <row r="38" spans="1:16" ht="48.75" hidden="1" customHeight="1" x14ac:dyDescent="0.25">
      <c r="A38" s="37"/>
      <c r="B38" s="56"/>
      <c r="C38" s="105" t="s">
        <v>178</v>
      </c>
      <c r="D38" s="106"/>
      <c r="E38" s="106"/>
      <c r="F38" s="106"/>
      <c r="G38" s="121"/>
      <c r="H38" s="105" t="s">
        <v>179</v>
      </c>
      <c r="I38" s="106"/>
      <c r="J38" s="106"/>
      <c r="K38" s="106"/>
      <c r="L38" s="105" t="s">
        <v>154</v>
      </c>
      <c r="M38" s="106"/>
      <c r="N38" s="106"/>
      <c r="O38" s="106"/>
      <c r="P38" s="56"/>
    </row>
    <row r="39" spans="1:16" ht="48.75" customHeight="1" x14ac:dyDescent="0.25">
      <c r="A39" s="37"/>
      <c r="B39" s="56"/>
      <c r="C39" s="105" t="s">
        <v>175</v>
      </c>
      <c r="D39" s="106"/>
      <c r="E39" s="106"/>
      <c r="F39" s="106"/>
      <c r="G39" s="121"/>
      <c r="H39" s="105" t="s">
        <v>176</v>
      </c>
      <c r="I39" s="106"/>
      <c r="J39" s="106"/>
      <c r="K39" s="106"/>
      <c r="L39" s="105" t="s">
        <v>182</v>
      </c>
      <c r="M39" s="106"/>
      <c r="N39" s="106"/>
      <c r="O39" s="106"/>
      <c r="P39" s="56"/>
    </row>
    <row r="40" spans="1:16" ht="45.75" customHeight="1" x14ac:dyDescent="0.25">
      <c r="A40" s="37"/>
      <c r="B40" s="56"/>
      <c r="C40" s="57"/>
      <c r="D40" s="56"/>
      <c r="E40" s="56"/>
      <c r="F40" s="56"/>
      <c r="G40" s="56"/>
      <c r="H40" s="57"/>
      <c r="I40" s="56"/>
      <c r="J40" s="57"/>
      <c r="K40" s="56"/>
      <c r="L40" s="57"/>
      <c r="M40" s="56"/>
      <c r="N40" s="57"/>
      <c r="O40" s="56"/>
      <c r="P40" s="56"/>
    </row>
    <row r="41" spans="1:16" ht="60" hidden="1" customHeight="1" x14ac:dyDescent="0.25">
      <c r="A41" s="37"/>
      <c r="B41" s="56"/>
      <c r="C41" s="133" t="s">
        <v>158</v>
      </c>
      <c r="D41" s="133"/>
      <c r="E41" s="133"/>
      <c r="F41" s="133"/>
      <c r="G41" s="133"/>
      <c r="H41" s="133"/>
      <c r="I41" s="133"/>
      <c r="J41" s="133"/>
      <c r="K41" s="133"/>
      <c r="L41" s="133"/>
      <c r="M41" s="133"/>
      <c r="N41" s="133"/>
      <c r="O41" s="133"/>
      <c r="P41" s="56"/>
    </row>
    <row r="42" spans="1:16" ht="50.25" hidden="1" customHeight="1" x14ac:dyDescent="0.55000000000000004">
      <c r="A42" s="37"/>
      <c r="B42" s="56"/>
      <c r="C42" s="126" t="s">
        <v>49</v>
      </c>
      <c r="D42" s="127"/>
      <c r="E42" s="127"/>
      <c r="F42" s="127"/>
      <c r="G42" s="128"/>
      <c r="H42" s="129" t="s">
        <v>50</v>
      </c>
      <c r="I42" s="129"/>
      <c r="J42" s="129"/>
      <c r="K42" s="129"/>
      <c r="L42" s="129" t="s">
        <v>51</v>
      </c>
      <c r="M42" s="129"/>
      <c r="N42" s="129"/>
      <c r="O42" s="129"/>
      <c r="P42" s="56"/>
    </row>
    <row r="43" spans="1:16" ht="48.75" hidden="1" customHeight="1" x14ac:dyDescent="0.25">
      <c r="A43" s="37"/>
      <c r="B43" s="56"/>
      <c r="C43" s="105" t="s">
        <v>160</v>
      </c>
      <c r="D43" s="106"/>
      <c r="E43" s="106"/>
      <c r="F43" s="106"/>
      <c r="G43" s="121"/>
      <c r="H43" s="105" t="s">
        <v>162</v>
      </c>
      <c r="I43" s="106"/>
      <c r="J43" s="106"/>
      <c r="K43" s="106"/>
      <c r="L43" s="105" t="s">
        <v>159</v>
      </c>
      <c r="M43" s="106"/>
      <c r="N43" s="106"/>
      <c r="O43" s="106"/>
      <c r="P43" s="56"/>
    </row>
    <row r="44" spans="1:16" ht="48.75" hidden="1" customHeight="1" x14ac:dyDescent="0.25">
      <c r="A44" s="37"/>
      <c r="B44" s="56"/>
      <c r="C44" s="105" t="s">
        <v>161</v>
      </c>
      <c r="D44" s="106"/>
      <c r="E44" s="106"/>
      <c r="F44" s="106"/>
      <c r="G44" s="121"/>
      <c r="H44" s="105" t="s">
        <v>163</v>
      </c>
      <c r="I44" s="106"/>
      <c r="J44" s="106"/>
      <c r="K44" s="106"/>
      <c r="L44" s="105" t="s">
        <v>159</v>
      </c>
      <c r="M44" s="106"/>
      <c r="N44" s="106"/>
      <c r="O44" s="106"/>
      <c r="P44" s="56"/>
    </row>
    <row r="45" spans="1:16" ht="15" customHeight="1" x14ac:dyDescent="0.25">
      <c r="A45" s="37"/>
      <c r="B45" s="56"/>
      <c r="C45" s="57"/>
      <c r="D45" s="56"/>
      <c r="E45" s="56"/>
      <c r="F45" s="56"/>
      <c r="G45" s="56"/>
      <c r="H45" s="57"/>
      <c r="I45" s="56"/>
      <c r="J45" s="57"/>
      <c r="K45" s="56"/>
      <c r="L45" s="57"/>
      <c r="M45" s="56"/>
      <c r="N45" s="57"/>
      <c r="O45" s="56"/>
      <c r="P45" s="56"/>
    </row>
    <row r="46" spans="1:16" ht="15" customHeight="1" x14ac:dyDescent="0.25">
      <c r="A46" s="37"/>
      <c r="B46" s="56"/>
      <c r="C46" s="57"/>
      <c r="D46" s="56"/>
      <c r="E46" s="56"/>
      <c r="F46" s="56"/>
      <c r="G46" s="56"/>
      <c r="H46" s="57"/>
      <c r="I46" s="56"/>
      <c r="J46" s="57"/>
      <c r="K46" s="56"/>
      <c r="L46" s="57"/>
      <c r="M46" s="56"/>
      <c r="N46" s="57"/>
      <c r="O46" s="56"/>
      <c r="P46" s="56"/>
    </row>
    <row r="47" spans="1:16" ht="52.5" customHeight="1" x14ac:dyDescent="0.25">
      <c r="A47" s="37"/>
      <c r="B47" s="56"/>
      <c r="C47" s="120" t="s">
        <v>53</v>
      </c>
      <c r="D47" s="120"/>
      <c r="E47" s="120"/>
      <c r="F47" s="120"/>
      <c r="G47" s="120"/>
      <c r="H47" s="120"/>
      <c r="I47" s="120"/>
      <c r="J47" s="120"/>
      <c r="K47" s="120"/>
      <c r="L47" s="120"/>
      <c r="M47" s="120"/>
      <c r="N47" s="120"/>
      <c r="O47" s="120"/>
      <c r="P47" s="56"/>
    </row>
    <row r="48" spans="1:16" ht="44.25" hidden="1" customHeight="1" x14ac:dyDescent="0.65">
      <c r="A48" s="37"/>
      <c r="B48" s="56"/>
      <c r="C48" s="78" t="s">
        <v>54</v>
      </c>
      <c r="D48" s="58"/>
      <c r="E48" s="58"/>
      <c r="F48" s="58"/>
      <c r="G48" s="79"/>
      <c r="H48" s="58"/>
      <c r="I48" s="58"/>
      <c r="J48" s="58"/>
      <c r="K48" s="58"/>
      <c r="L48" s="58"/>
      <c r="M48" s="58"/>
      <c r="N48" s="58"/>
      <c r="O48" s="83"/>
      <c r="P48" s="56"/>
    </row>
    <row r="49" spans="1:16" ht="44.25" hidden="1" customHeight="1" x14ac:dyDescent="0.55000000000000004">
      <c r="A49" s="37"/>
      <c r="B49" s="56"/>
      <c r="C49" s="80" t="s">
        <v>75</v>
      </c>
      <c r="D49" s="81"/>
      <c r="E49" s="81"/>
      <c r="F49" s="81"/>
      <c r="G49" s="82"/>
      <c r="H49" s="81"/>
      <c r="I49" s="81"/>
      <c r="J49" s="81"/>
      <c r="K49" s="81"/>
      <c r="L49" s="81"/>
      <c r="M49" s="81"/>
      <c r="N49" s="81"/>
      <c r="O49" s="81"/>
      <c r="P49" s="56"/>
    </row>
    <row r="50" spans="1:16" ht="15" hidden="1" customHeight="1" x14ac:dyDescent="0.25">
      <c r="A50" s="37"/>
      <c r="B50" s="56"/>
      <c r="C50" s="57"/>
      <c r="D50" s="56"/>
      <c r="E50" s="56"/>
      <c r="F50" s="56"/>
      <c r="G50" s="56"/>
      <c r="H50" s="57"/>
      <c r="I50" s="56"/>
      <c r="J50" s="57"/>
      <c r="K50" s="56"/>
      <c r="L50" s="57"/>
      <c r="M50" s="56"/>
      <c r="N50" s="57"/>
      <c r="O50" s="56"/>
      <c r="P50" s="56"/>
    </row>
    <row r="51" spans="1:16" ht="44.25" hidden="1" customHeight="1" x14ac:dyDescent="0.55000000000000004">
      <c r="A51" s="37"/>
      <c r="B51" s="56"/>
      <c r="C51" s="80" t="s">
        <v>169</v>
      </c>
      <c r="D51" s="81"/>
      <c r="E51" s="81"/>
      <c r="F51" s="81"/>
      <c r="G51" s="82"/>
      <c r="H51" s="81"/>
      <c r="I51" s="81"/>
      <c r="J51" s="81"/>
      <c r="K51" s="81"/>
      <c r="L51" s="81"/>
      <c r="M51" s="81"/>
      <c r="N51" s="81"/>
      <c r="O51" s="81"/>
      <c r="P51" s="56"/>
    </row>
    <row r="52" spans="1:16" ht="44.25" hidden="1" customHeight="1" x14ac:dyDescent="0.25">
      <c r="A52" s="37"/>
      <c r="B52" s="56"/>
      <c r="C52" s="67">
        <v>0.375</v>
      </c>
      <c r="D52" s="66">
        <v>6.9444444444444441E-3</v>
      </c>
      <c r="E52" s="67" t="s">
        <v>55</v>
      </c>
      <c r="F52" s="67">
        <f>D52+C52</f>
        <v>0.38194444444444442</v>
      </c>
      <c r="G52" s="84" t="s">
        <v>79</v>
      </c>
      <c r="H52" s="84"/>
      <c r="I52" s="84"/>
      <c r="J52" s="84"/>
      <c r="K52" s="84"/>
      <c r="L52" s="84"/>
      <c r="M52" s="84"/>
      <c r="N52" s="84"/>
      <c r="O52" s="84"/>
      <c r="P52" s="56"/>
    </row>
    <row r="53" spans="1:16" ht="44.25" hidden="1" customHeight="1" x14ac:dyDescent="0.25">
      <c r="A53" s="37"/>
      <c r="B53" s="56"/>
      <c r="C53" s="65">
        <f>F52</f>
        <v>0.38194444444444442</v>
      </c>
      <c r="D53" s="66">
        <v>3.125E-2</v>
      </c>
      <c r="E53" s="85" t="s">
        <v>55</v>
      </c>
      <c r="F53" s="65">
        <f t="shared" ref="F53" si="0">C53+D53</f>
        <v>0.41319444444444442</v>
      </c>
      <c r="G53" s="72" t="s">
        <v>81</v>
      </c>
      <c r="H53" s="72"/>
      <c r="I53" s="72"/>
      <c r="J53" s="72"/>
      <c r="K53" s="72"/>
      <c r="L53" s="72"/>
      <c r="M53" s="72"/>
      <c r="N53" s="72"/>
      <c r="O53" s="72"/>
      <c r="P53" s="56"/>
    </row>
    <row r="54" spans="1:16" ht="44.25" hidden="1" customHeight="1" x14ac:dyDescent="0.55000000000000004">
      <c r="A54" s="37"/>
      <c r="B54" s="56"/>
      <c r="C54" s="80" t="s">
        <v>170</v>
      </c>
      <c r="D54" s="65"/>
      <c r="E54" s="85"/>
      <c r="F54" s="65"/>
      <c r="G54" s="72"/>
      <c r="H54" s="72"/>
      <c r="I54" s="72"/>
      <c r="J54" s="72"/>
      <c r="K54" s="72"/>
      <c r="L54" s="72"/>
      <c r="M54" s="72"/>
      <c r="N54" s="72"/>
      <c r="O54" s="72"/>
      <c r="P54" s="56"/>
    </row>
    <row r="55" spans="1:16" ht="44.25" hidden="1" customHeight="1" x14ac:dyDescent="0.25">
      <c r="A55" s="37"/>
      <c r="B55" s="56"/>
      <c r="C55" s="65">
        <v>0.375</v>
      </c>
      <c r="D55" s="66">
        <v>6.9444444444444441E-3</v>
      </c>
      <c r="E55" s="85" t="s">
        <v>55</v>
      </c>
      <c r="F55" s="65">
        <f t="shared" ref="F55" si="1">C55+D55</f>
        <v>0.38194444444444442</v>
      </c>
      <c r="G55" s="72" t="s">
        <v>82</v>
      </c>
      <c r="H55" s="72"/>
      <c r="I55" s="72"/>
      <c r="J55" s="72"/>
      <c r="K55" s="72"/>
      <c r="L55" s="72"/>
      <c r="M55" s="72"/>
      <c r="N55" s="72"/>
      <c r="O55" s="72"/>
      <c r="P55" s="56"/>
    </row>
    <row r="56" spans="1:16" ht="44.25" hidden="1" customHeight="1" x14ac:dyDescent="0.25">
      <c r="A56" s="37"/>
      <c r="B56" s="56"/>
      <c r="C56" s="67">
        <f>F55</f>
        <v>0.38194444444444442</v>
      </c>
      <c r="D56" s="66">
        <v>1.3888888888888888E-2</v>
      </c>
      <c r="E56" s="67" t="s">
        <v>55</v>
      </c>
      <c r="F56" s="67">
        <f>D56+C56</f>
        <v>0.39583333333333331</v>
      </c>
      <c r="G56" s="84" t="s">
        <v>172</v>
      </c>
      <c r="H56" s="84"/>
      <c r="I56" s="84"/>
      <c r="J56" s="84"/>
      <c r="K56" s="84"/>
      <c r="L56" s="84"/>
      <c r="M56" s="84"/>
      <c r="N56" s="84"/>
      <c r="O56" s="84"/>
      <c r="P56" s="56"/>
    </row>
    <row r="57" spans="1:16" s="97" customFormat="1" ht="44.25" hidden="1" customHeight="1" x14ac:dyDescent="0.55000000000000004">
      <c r="A57" s="94"/>
      <c r="B57" s="95"/>
      <c r="C57" s="80" t="s">
        <v>171</v>
      </c>
      <c r="D57" s="65"/>
      <c r="E57" s="85"/>
      <c r="F57" s="65"/>
      <c r="G57" s="96"/>
      <c r="H57" s="96"/>
      <c r="I57" s="96"/>
      <c r="J57" s="96"/>
      <c r="K57" s="96"/>
      <c r="L57" s="96"/>
      <c r="M57" s="96"/>
      <c r="N57" s="96"/>
      <c r="O57" s="96"/>
      <c r="P57" s="95"/>
    </row>
    <row r="58" spans="1:16" ht="44.25" hidden="1" customHeight="1" x14ac:dyDescent="0.25">
      <c r="A58" s="37"/>
      <c r="B58" s="56"/>
      <c r="C58" s="65">
        <v>0.3888888888888889</v>
      </c>
      <c r="D58" s="66">
        <v>6.9444444444444441E-3</v>
      </c>
      <c r="E58" s="85" t="s">
        <v>55</v>
      </c>
      <c r="F58" s="65">
        <f t="shared" ref="F58" si="2">C58+D58</f>
        <v>0.39583333333333331</v>
      </c>
      <c r="G58" s="72" t="s">
        <v>173</v>
      </c>
      <c r="H58" s="72"/>
      <c r="I58" s="72"/>
      <c r="J58" s="72"/>
      <c r="K58" s="72"/>
      <c r="L58" s="72"/>
      <c r="M58" s="72"/>
      <c r="N58" s="72"/>
      <c r="O58" s="72"/>
      <c r="P58" s="56"/>
    </row>
    <row r="59" spans="1:16" ht="44.25" hidden="1" customHeight="1" x14ac:dyDescent="0.25">
      <c r="A59" s="37"/>
      <c r="B59" s="56"/>
      <c r="C59" s="67">
        <f>F58</f>
        <v>0.39583333333333331</v>
      </c>
      <c r="D59" s="66">
        <v>6.9444444444444441E-3</v>
      </c>
      <c r="E59" s="67" t="s">
        <v>55</v>
      </c>
      <c r="F59" s="67">
        <f>D59+C59</f>
        <v>0.40277777777777773</v>
      </c>
      <c r="G59" s="84" t="s">
        <v>81</v>
      </c>
      <c r="H59" s="84"/>
      <c r="I59" s="84"/>
      <c r="J59" s="84"/>
      <c r="K59" s="84"/>
      <c r="L59" s="84"/>
      <c r="M59" s="84"/>
      <c r="N59" s="84"/>
      <c r="O59" s="84"/>
      <c r="P59" s="56"/>
    </row>
    <row r="60" spans="1:16" ht="15" hidden="1" customHeight="1" x14ac:dyDescent="0.25">
      <c r="A60" s="37"/>
      <c r="B60" s="56"/>
      <c r="C60" s="57"/>
      <c r="D60" s="56"/>
      <c r="E60" s="56"/>
      <c r="F60" s="56"/>
      <c r="G60" s="56"/>
      <c r="H60" s="57"/>
      <c r="I60" s="56"/>
      <c r="J60" s="57"/>
      <c r="K60" s="56"/>
      <c r="L60" s="57"/>
      <c r="M60" s="56"/>
      <c r="N60" s="57"/>
      <c r="O60" s="56"/>
      <c r="P60" s="56"/>
    </row>
    <row r="61" spans="1:16" ht="44.25" hidden="1" customHeight="1" x14ac:dyDescent="0.25">
      <c r="A61" s="37"/>
      <c r="B61" s="56"/>
      <c r="C61" s="67">
        <v>0.41666666666666669</v>
      </c>
      <c r="D61" s="66">
        <v>1.3888888888888888E-2</v>
      </c>
      <c r="E61" s="67" t="s">
        <v>55</v>
      </c>
      <c r="F61" s="67">
        <f>D61+C61</f>
        <v>0.43055555555555558</v>
      </c>
      <c r="G61" s="84" t="s">
        <v>56</v>
      </c>
      <c r="H61" s="84"/>
      <c r="I61" s="84"/>
      <c r="J61" s="84"/>
      <c r="K61" s="84"/>
      <c r="L61" s="84"/>
      <c r="M61" s="84"/>
      <c r="N61" s="84"/>
      <c r="O61" s="84"/>
      <c r="P61" s="56"/>
    </row>
    <row r="62" spans="1:16" ht="44.25" hidden="1" customHeight="1" x14ac:dyDescent="0.25">
      <c r="A62" s="37"/>
      <c r="B62" s="56"/>
      <c r="C62" s="86">
        <f>F61</f>
        <v>0.43055555555555558</v>
      </c>
      <c r="D62" s="66">
        <v>1.3888888888888888E-2</v>
      </c>
      <c r="E62" s="86" t="s">
        <v>55</v>
      </c>
      <c r="F62" s="86">
        <f t="shared" ref="F62:F64" si="3">C62+D62</f>
        <v>0.44444444444444448</v>
      </c>
      <c r="G62" s="63" t="s">
        <v>57</v>
      </c>
      <c r="H62" s="63"/>
      <c r="I62" s="63"/>
      <c r="J62" s="63"/>
      <c r="K62" s="63"/>
      <c r="L62" s="63"/>
      <c r="M62" s="63"/>
      <c r="N62" s="63"/>
      <c r="O62" s="63"/>
      <c r="P62" s="56"/>
    </row>
    <row r="63" spans="1:16" ht="44.25" hidden="1" customHeight="1" x14ac:dyDescent="0.25">
      <c r="A63" s="37"/>
      <c r="B63" s="56"/>
      <c r="C63" s="86">
        <f t="shared" ref="C63" si="4">F62</f>
        <v>0.44444444444444448</v>
      </c>
      <c r="D63" s="66">
        <v>2.7777777777777776E-2</v>
      </c>
      <c r="E63" s="86" t="s">
        <v>55</v>
      </c>
      <c r="F63" s="86">
        <f t="shared" si="3"/>
        <v>0.47222222222222227</v>
      </c>
      <c r="G63" s="68" t="s">
        <v>72</v>
      </c>
      <c r="H63" s="68"/>
      <c r="I63" s="68"/>
      <c r="J63" s="68"/>
      <c r="K63" s="68"/>
      <c r="L63" s="68"/>
      <c r="M63" s="68"/>
      <c r="N63" s="68"/>
      <c r="O63" s="68"/>
      <c r="P63" s="56"/>
    </row>
    <row r="64" spans="1:16" ht="42" hidden="1" customHeight="1" x14ac:dyDescent="0.25">
      <c r="A64" s="37"/>
      <c r="B64" s="56"/>
      <c r="C64" s="86">
        <f>F63</f>
        <v>0.47222222222222227</v>
      </c>
      <c r="D64" s="66">
        <v>3.4722222222222224E-2</v>
      </c>
      <c r="E64" s="86" t="s">
        <v>55</v>
      </c>
      <c r="F64" s="86">
        <f t="shared" si="3"/>
        <v>0.50694444444444453</v>
      </c>
      <c r="G64" s="68" t="s">
        <v>58</v>
      </c>
      <c r="H64" s="68"/>
      <c r="I64" s="68"/>
      <c r="J64" s="68"/>
      <c r="K64" s="68"/>
      <c r="L64" s="68"/>
      <c r="M64" s="68"/>
      <c r="N64" s="68"/>
      <c r="O64" s="68"/>
      <c r="P64" s="56"/>
    </row>
    <row r="65" spans="1:16" ht="44.25" hidden="1" customHeight="1" x14ac:dyDescent="0.25">
      <c r="A65" s="37"/>
      <c r="B65" s="56"/>
      <c r="C65" s="86">
        <f>F64</f>
        <v>0.50694444444444453</v>
      </c>
      <c r="D65" s="66">
        <v>1.3888888888888888E-2</v>
      </c>
      <c r="E65" s="86" t="s">
        <v>55</v>
      </c>
      <c r="F65" s="86">
        <f t="shared" ref="F65:F68" si="5">C65+D65</f>
        <v>0.52083333333333337</v>
      </c>
      <c r="G65" s="68" t="s">
        <v>59</v>
      </c>
      <c r="H65" s="68"/>
      <c r="I65" s="68"/>
      <c r="J65" s="68"/>
      <c r="K65" s="68"/>
      <c r="L65" s="68"/>
      <c r="M65" s="68"/>
      <c r="N65" s="68"/>
      <c r="O65" s="68"/>
      <c r="P65" s="56"/>
    </row>
    <row r="66" spans="1:16" ht="44.25" hidden="1" customHeight="1" x14ac:dyDescent="0.25">
      <c r="A66" s="37"/>
      <c r="B66" s="56"/>
      <c r="C66" s="86">
        <f t="shared" ref="C66" si="6">F65</f>
        <v>0.52083333333333337</v>
      </c>
      <c r="D66" s="66">
        <v>1.3888888888888888E-2</v>
      </c>
      <c r="E66" s="86" t="s">
        <v>55</v>
      </c>
      <c r="F66" s="86">
        <f t="shared" si="5"/>
        <v>0.53472222222222221</v>
      </c>
      <c r="G66" s="63" t="s">
        <v>83</v>
      </c>
      <c r="H66" s="63"/>
      <c r="I66" s="63"/>
      <c r="J66" s="63"/>
      <c r="K66" s="63"/>
      <c r="L66" s="63"/>
      <c r="M66" s="63"/>
      <c r="N66" s="63"/>
      <c r="O66" s="63"/>
      <c r="P66" s="56"/>
    </row>
    <row r="67" spans="1:16" ht="44.25" hidden="1" customHeight="1" x14ac:dyDescent="0.25">
      <c r="A67" s="37"/>
      <c r="B67" s="56"/>
      <c r="C67" s="86">
        <f t="shared" ref="C67" si="7">F66</f>
        <v>0.53472222222222221</v>
      </c>
      <c r="D67" s="66">
        <v>6.9444444444444441E-3</v>
      </c>
      <c r="E67" s="86" t="s">
        <v>55</v>
      </c>
      <c r="F67" s="86">
        <f t="shared" ref="F67" si="8">C67+D67</f>
        <v>0.54166666666666663</v>
      </c>
      <c r="G67" s="63" t="s">
        <v>168</v>
      </c>
      <c r="H67" s="63"/>
      <c r="I67" s="63"/>
      <c r="J67" s="63"/>
      <c r="K67" s="63"/>
      <c r="L67" s="63"/>
      <c r="M67" s="63"/>
      <c r="N67" s="63"/>
      <c r="O67" s="63"/>
      <c r="P67" s="56"/>
    </row>
    <row r="68" spans="1:16" ht="44.25" hidden="1" customHeight="1" x14ac:dyDescent="0.25">
      <c r="A68" s="37"/>
      <c r="B68" s="56"/>
      <c r="C68" s="86">
        <f>F67</f>
        <v>0.54166666666666663</v>
      </c>
      <c r="D68" s="66">
        <v>2.0833333333333332E-2</v>
      </c>
      <c r="E68" s="86" t="s">
        <v>55</v>
      </c>
      <c r="F68" s="86">
        <f t="shared" si="5"/>
        <v>0.5625</v>
      </c>
      <c r="G68" s="77" t="s">
        <v>73</v>
      </c>
      <c r="P68" s="56"/>
    </row>
    <row r="69" spans="1:16" ht="44.25" hidden="1" customHeight="1" x14ac:dyDescent="0.25">
      <c r="A69" s="37"/>
      <c r="B69" s="56"/>
      <c r="C69" s="86">
        <f t="shared" ref="C69" si="9">F68</f>
        <v>0.5625</v>
      </c>
      <c r="D69" s="66">
        <v>0.125</v>
      </c>
      <c r="E69" s="86" t="s">
        <v>55</v>
      </c>
      <c r="F69" s="86">
        <f t="shared" ref="F69:F71" si="10">C69+D69</f>
        <v>0.6875</v>
      </c>
      <c r="G69" s="63" t="s">
        <v>74</v>
      </c>
      <c r="H69" s="63"/>
      <c r="I69" s="63"/>
      <c r="J69" s="63"/>
      <c r="K69" s="63"/>
      <c r="L69" s="63"/>
      <c r="M69" s="63"/>
      <c r="N69" s="63"/>
      <c r="O69" s="63"/>
      <c r="P69" s="56"/>
    </row>
    <row r="70" spans="1:16" ht="44.25" hidden="1" customHeight="1" x14ac:dyDescent="0.55000000000000004">
      <c r="A70" s="37"/>
      <c r="B70" s="56"/>
      <c r="C70" s="80" t="s">
        <v>84</v>
      </c>
      <c r="D70" s="81"/>
      <c r="E70" s="81"/>
      <c r="F70" s="81"/>
      <c r="G70" s="82"/>
      <c r="H70" s="81"/>
      <c r="I70" s="81"/>
      <c r="J70" s="81"/>
      <c r="K70" s="81"/>
      <c r="L70" s="81"/>
      <c r="M70" s="81"/>
      <c r="N70" s="81"/>
      <c r="O70" s="81"/>
      <c r="P70" s="56"/>
    </row>
    <row r="71" spans="1:16" ht="44.25" hidden="1" customHeight="1" x14ac:dyDescent="0.25">
      <c r="A71" s="37"/>
      <c r="B71" s="56"/>
      <c r="C71" s="86">
        <f>F69</f>
        <v>0.6875</v>
      </c>
      <c r="D71" s="66">
        <v>1.3888888888888888E-2</v>
      </c>
      <c r="E71" s="86" t="s">
        <v>55</v>
      </c>
      <c r="F71" s="86">
        <f t="shared" si="10"/>
        <v>0.70138888888888884</v>
      </c>
      <c r="G71" s="63" t="s">
        <v>76</v>
      </c>
      <c r="H71" s="63"/>
      <c r="I71" s="63"/>
      <c r="J71" s="63"/>
      <c r="K71" s="63"/>
      <c r="L71" s="63"/>
      <c r="M71" s="63"/>
      <c r="N71" s="63"/>
      <c r="O71" s="63"/>
      <c r="P71" s="56"/>
    </row>
    <row r="72" spans="1:16" ht="44.25" hidden="1" customHeight="1" x14ac:dyDescent="0.55000000000000004">
      <c r="A72" s="37"/>
      <c r="B72" s="56"/>
      <c r="C72" s="80" t="s">
        <v>85</v>
      </c>
      <c r="D72" s="81"/>
      <c r="E72" s="81"/>
      <c r="F72" s="81"/>
      <c r="G72" s="82"/>
      <c r="H72" s="81"/>
      <c r="I72" s="81"/>
      <c r="J72" s="81"/>
      <c r="K72" s="81"/>
      <c r="L72" s="81"/>
      <c r="M72" s="81"/>
      <c r="N72" s="81"/>
      <c r="O72" s="81"/>
      <c r="P72" s="56"/>
    </row>
    <row r="73" spans="1:16" ht="44.25" hidden="1" customHeight="1" x14ac:dyDescent="0.25">
      <c r="A73" s="37"/>
      <c r="B73" s="56"/>
      <c r="C73" s="86">
        <f>F69</f>
        <v>0.6875</v>
      </c>
      <c r="D73" s="66">
        <v>4.1666666666666664E-2</v>
      </c>
      <c r="E73" s="86" t="s">
        <v>55</v>
      </c>
      <c r="F73" s="86">
        <f t="shared" ref="F73" si="11">C73+D73</f>
        <v>0.72916666666666663</v>
      </c>
      <c r="G73" s="63" t="s">
        <v>80</v>
      </c>
      <c r="H73" s="63"/>
      <c r="I73" s="63"/>
      <c r="J73" s="63"/>
      <c r="K73" s="63"/>
      <c r="L73" s="63"/>
      <c r="M73" s="63"/>
      <c r="N73" s="63"/>
      <c r="O73" s="63"/>
      <c r="P73" s="56"/>
    </row>
    <row r="74" spans="1:16" ht="44.25" hidden="1" customHeight="1" x14ac:dyDescent="0.25">
      <c r="A74" s="37"/>
      <c r="B74" s="56"/>
      <c r="C74" s="87"/>
      <c r="D74" s="65"/>
      <c r="E74" s="87"/>
      <c r="F74" s="87"/>
      <c r="G74" s="63" t="s">
        <v>78</v>
      </c>
      <c r="H74" s="63"/>
      <c r="I74" s="63"/>
      <c r="J74" s="63"/>
      <c r="K74" s="63"/>
      <c r="L74" s="63"/>
      <c r="M74" s="63"/>
      <c r="N74" s="63"/>
      <c r="O74" s="63"/>
      <c r="P74" s="56"/>
    </row>
    <row r="75" spans="1:16" ht="44.25" hidden="1" customHeight="1" x14ac:dyDescent="0.25">
      <c r="A75" s="37"/>
      <c r="B75" s="56"/>
      <c r="C75" s="87"/>
      <c r="D75" s="65"/>
      <c r="E75" s="87"/>
      <c r="F75" s="87"/>
      <c r="G75" s="74" t="s">
        <v>60</v>
      </c>
      <c r="H75" s="69"/>
      <c r="I75" s="71"/>
      <c r="J75" s="71"/>
      <c r="K75" s="71"/>
      <c r="L75" s="71"/>
      <c r="M75" s="72"/>
      <c r="N75" s="72"/>
      <c r="P75" s="56"/>
    </row>
    <row r="76" spans="1:16" ht="34.5" hidden="1" customHeight="1" x14ac:dyDescent="0.25">
      <c r="A76" s="37"/>
      <c r="B76" s="56"/>
      <c r="C76" s="41"/>
      <c r="D76" s="41"/>
      <c r="E76" s="54"/>
      <c r="F76" s="41"/>
      <c r="G76" s="69"/>
      <c r="H76" s="70"/>
      <c r="I76" s="71"/>
      <c r="J76" s="71"/>
      <c r="K76" s="71"/>
      <c r="L76" s="71"/>
      <c r="M76" s="72"/>
      <c r="N76" s="72"/>
      <c r="P76" s="56"/>
    </row>
    <row r="77" spans="1:16" ht="44.25" customHeight="1" x14ac:dyDescent="0.65">
      <c r="A77" s="37"/>
      <c r="B77" s="56"/>
      <c r="C77" s="110" t="s">
        <v>61</v>
      </c>
      <c r="D77" s="111"/>
      <c r="E77" s="111"/>
      <c r="F77" s="111"/>
      <c r="G77" s="112"/>
      <c r="H77" s="111"/>
      <c r="I77" s="111"/>
      <c r="J77" s="111"/>
      <c r="K77" s="111"/>
      <c r="L77" s="111"/>
      <c r="M77" s="111"/>
      <c r="N77" s="111"/>
      <c r="O77" s="60"/>
      <c r="P77" s="56"/>
    </row>
    <row r="78" spans="1:16" ht="44.25" customHeight="1" x14ac:dyDescent="0.55000000000000004">
      <c r="A78" s="37"/>
      <c r="B78" s="56"/>
      <c r="C78" s="113" t="s">
        <v>62</v>
      </c>
      <c r="D78" s="114"/>
      <c r="E78" s="114"/>
      <c r="F78" s="114"/>
      <c r="G78" s="115"/>
      <c r="H78" s="114"/>
      <c r="I78" s="114"/>
      <c r="J78" s="114"/>
      <c r="K78" s="114"/>
      <c r="L78" s="114"/>
      <c r="M78" s="114"/>
      <c r="N78" s="114"/>
      <c r="O78" s="114"/>
      <c r="P78" s="56"/>
    </row>
    <row r="79" spans="1:16" ht="15" customHeight="1" x14ac:dyDescent="0.25">
      <c r="A79" s="37"/>
      <c r="B79" s="56"/>
      <c r="C79" s="57"/>
      <c r="D79" s="56"/>
      <c r="E79" s="56"/>
      <c r="F79" s="56"/>
      <c r="G79" s="56"/>
      <c r="H79" s="57"/>
      <c r="I79" s="56"/>
      <c r="J79" s="57"/>
      <c r="K79" s="56"/>
      <c r="L79" s="57"/>
      <c r="M79" s="56"/>
      <c r="N79" s="57"/>
      <c r="O79" s="56"/>
      <c r="P79" s="56"/>
    </row>
    <row r="80" spans="1:16" ht="44.25" hidden="1" customHeight="1" x14ac:dyDescent="0.25">
      <c r="A80" s="37"/>
      <c r="B80" s="56"/>
      <c r="C80" s="62">
        <v>0.36458333333333331</v>
      </c>
      <c r="D80" s="66">
        <v>6.9444444444444441E-3</v>
      </c>
      <c r="E80" s="59" t="s">
        <v>55</v>
      </c>
      <c r="F80" s="59">
        <f>D80+C80</f>
        <v>0.37152777777777773</v>
      </c>
      <c r="G80" s="108" t="s">
        <v>77</v>
      </c>
      <c r="H80" s="108"/>
      <c r="I80" s="108"/>
      <c r="J80" s="108"/>
      <c r="K80" s="108"/>
      <c r="L80" s="108"/>
      <c r="M80" s="108"/>
      <c r="N80" s="108"/>
      <c r="O80" s="108"/>
      <c r="P80" s="56"/>
    </row>
    <row r="81" spans="1:16" ht="44.25" hidden="1" customHeight="1" x14ac:dyDescent="0.25">
      <c r="A81" s="37"/>
      <c r="B81" s="56"/>
      <c r="C81" s="59">
        <f>F80</f>
        <v>0.37152777777777773</v>
      </c>
      <c r="D81" s="66">
        <v>2.0833333333333332E-2</v>
      </c>
      <c r="E81" s="59" t="s">
        <v>55</v>
      </c>
      <c r="F81" s="59">
        <f>D81+C81</f>
        <v>0.39236111111111105</v>
      </c>
      <c r="G81" s="108" t="s">
        <v>106</v>
      </c>
      <c r="H81" s="108"/>
      <c r="I81" s="108"/>
      <c r="J81" s="108"/>
      <c r="K81" s="108"/>
      <c r="L81" s="108"/>
      <c r="M81" s="108"/>
      <c r="N81" s="108"/>
      <c r="O81" s="108"/>
      <c r="P81" s="56"/>
    </row>
    <row r="82" spans="1:16" ht="44.25" hidden="1" customHeight="1" x14ac:dyDescent="0.25">
      <c r="A82" s="37"/>
      <c r="B82" s="56"/>
      <c r="C82" s="59">
        <f>F81</f>
        <v>0.39236111111111105</v>
      </c>
      <c r="D82" s="66">
        <v>6.9444444444444441E-3</v>
      </c>
      <c r="E82" s="59" t="s">
        <v>55</v>
      </c>
      <c r="F82" s="59">
        <f>D82+C82</f>
        <v>0.39930555555555547</v>
      </c>
      <c r="G82" s="108" t="s">
        <v>79</v>
      </c>
      <c r="H82" s="108"/>
      <c r="I82" s="108"/>
      <c r="J82" s="108"/>
      <c r="K82" s="108"/>
      <c r="L82" s="108"/>
      <c r="M82" s="108"/>
      <c r="N82" s="108"/>
      <c r="O82" s="108"/>
      <c r="P82" s="56"/>
    </row>
    <row r="83" spans="1:16" ht="44.25" hidden="1" customHeight="1" x14ac:dyDescent="0.25">
      <c r="A83" s="37"/>
      <c r="B83" s="56"/>
      <c r="C83" s="59">
        <f>F82</f>
        <v>0.39930555555555547</v>
      </c>
      <c r="D83" s="66">
        <v>5.2083333333333336E-2</v>
      </c>
      <c r="E83" s="59" t="s">
        <v>55</v>
      </c>
      <c r="F83" s="59">
        <f>D83+C83</f>
        <v>0.45138888888888878</v>
      </c>
      <c r="G83" s="108" t="s">
        <v>63</v>
      </c>
      <c r="H83" s="108"/>
      <c r="I83" s="108"/>
      <c r="J83" s="108"/>
      <c r="K83" s="108"/>
      <c r="L83" s="108"/>
      <c r="M83" s="108"/>
      <c r="N83" s="108"/>
      <c r="O83" s="108"/>
      <c r="P83" s="56"/>
    </row>
    <row r="84" spans="1:16" ht="44.25" hidden="1" customHeight="1" x14ac:dyDescent="0.25">
      <c r="A84" s="37"/>
      <c r="B84" s="56"/>
      <c r="C84" s="59">
        <f>F83</f>
        <v>0.45138888888888878</v>
      </c>
      <c r="D84" s="66">
        <v>4.1666666666666664E-2</v>
      </c>
      <c r="E84" s="59" t="s">
        <v>55</v>
      </c>
      <c r="F84" s="59">
        <f t="shared" ref="F84:F87" si="12">D84+C84</f>
        <v>0.49305555555555547</v>
      </c>
      <c r="G84" s="108" t="s">
        <v>64</v>
      </c>
      <c r="H84" s="108"/>
      <c r="I84" s="108"/>
      <c r="J84" s="108"/>
      <c r="K84" s="108"/>
      <c r="L84" s="108"/>
      <c r="M84" s="108"/>
      <c r="N84" s="108"/>
      <c r="O84" s="108"/>
      <c r="P84" s="56"/>
    </row>
    <row r="85" spans="1:16" ht="44.25" hidden="1" customHeight="1" x14ac:dyDescent="0.25">
      <c r="A85" s="37"/>
      <c r="B85" s="56"/>
      <c r="C85" s="59">
        <v>0.49305555555555558</v>
      </c>
      <c r="D85" s="66">
        <v>4.5138888888888888E-2</v>
      </c>
      <c r="E85" s="59" t="s">
        <v>55</v>
      </c>
      <c r="F85" s="59">
        <f t="shared" si="12"/>
        <v>0.53819444444444442</v>
      </c>
      <c r="G85" s="108" t="s">
        <v>199</v>
      </c>
      <c r="H85" s="108"/>
      <c r="I85" s="108"/>
      <c r="J85" s="108"/>
      <c r="K85" s="108"/>
      <c r="L85" s="108"/>
      <c r="M85" s="108"/>
      <c r="N85" s="108"/>
      <c r="O85" s="108"/>
      <c r="P85" s="56"/>
    </row>
    <row r="86" spans="1:16" ht="44.25" hidden="1" customHeight="1" x14ac:dyDescent="0.25">
      <c r="A86" s="37"/>
      <c r="B86" s="56"/>
      <c r="C86" s="59">
        <f t="shared" ref="C86" si="13">F85</f>
        <v>0.53819444444444442</v>
      </c>
      <c r="D86" s="66">
        <v>1.3888888888888888E-2</v>
      </c>
      <c r="E86" s="59" t="s">
        <v>55</v>
      </c>
      <c r="F86" s="59">
        <f t="shared" si="12"/>
        <v>0.55208333333333326</v>
      </c>
      <c r="G86" s="108" t="s">
        <v>231</v>
      </c>
      <c r="H86" s="108"/>
      <c r="I86" s="108"/>
      <c r="J86" s="108"/>
      <c r="K86" s="108"/>
      <c r="L86" s="108"/>
      <c r="M86" s="108"/>
      <c r="N86" s="108"/>
      <c r="O86" s="108"/>
      <c r="P86" s="56"/>
    </row>
    <row r="87" spans="1:16" ht="44.25" customHeight="1" x14ac:dyDescent="0.25">
      <c r="A87" s="37"/>
      <c r="B87" s="56"/>
      <c r="C87" s="59">
        <f>F86</f>
        <v>0.55208333333333326</v>
      </c>
      <c r="D87" s="66">
        <v>1.3888888888888888E-2</v>
      </c>
      <c r="E87" s="59" t="s">
        <v>55</v>
      </c>
      <c r="F87" s="59">
        <f t="shared" si="12"/>
        <v>0.5659722222222221</v>
      </c>
      <c r="G87" s="119" t="s">
        <v>234</v>
      </c>
      <c r="H87" s="119"/>
      <c r="I87" s="119"/>
      <c r="J87" s="119"/>
      <c r="K87" s="119"/>
      <c r="L87" s="119"/>
      <c r="M87" s="119"/>
      <c r="N87" s="119"/>
      <c r="O87" s="119"/>
      <c r="P87" s="56"/>
    </row>
    <row r="88" spans="1:16" ht="44.25" customHeight="1" x14ac:dyDescent="0.25">
      <c r="A88" s="37"/>
      <c r="B88" s="56"/>
      <c r="C88" s="62">
        <f>F87</f>
        <v>0.5659722222222221</v>
      </c>
      <c r="D88" s="66">
        <v>0.10069444444444445</v>
      </c>
      <c r="E88" s="62" t="s">
        <v>55</v>
      </c>
      <c r="F88" s="62">
        <f t="shared" ref="F88" si="14">C88+D88</f>
        <v>0.66666666666666652</v>
      </c>
      <c r="G88" s="101" t="s">
        <v>235</v>
      </c>
      <c r="H88" s="101"/>
      <c r="I88" s="101"/>
      <c r="J88" s="101"/>
      <c r="K88" s="101"/>
      <c r="L88" s="101"/>
      <c r="M88" s="101"/>
      <c r="N88" s="101"/>
      <c r="O88" s="101"/>
      <c r="P88" s="56"/>
    </row>
    <row r="89" spans="1:16" ht="44.25" customHeight="1" x14ac:dyDescent="0.25">
      <c r="A89" s="37"/>
      <c r="B89" s="56"/>
      <c r="C89" s="62">
        <f>F88</f>
        <v>0.66666666666666652</v>
      </c>
      <c r="D89" s="66">
        <v>4.1666666666666664E-2</v>
      </c>
      <c r="E89" s="62" t="s">
        <v>55</v>
      </c>
      <c r="F89" s="62">
        <f>D89+C89</f>
        <v>0.70833333333333315</v>
      </c>
      <c r="G89" s="122" t="s">
        <v>232</v>
      </c>
      <c r="H89" s="122"/>
      <c r="I89" s="122"/>
      <c r="J89" s="122"/>
      <c r="K89" s="122"/>
      <c r="L89" s="122"/>
      <c r="M89" s="122"/>
      <c r="N89" s="122"/>
      <c r="O89" s="122"/>
      <c r="P89" s="56"/>
    </row>
    <row r="90" spans="1:16" ht="44.25" customHeight="1" x14ac:dyDescent="0.25">
      <c r="A90" s="37"/>
      <c r="B90" s="56"/>
      <c r="C90" s="59">
        <f>F89</f>
        <v>0.70833333333333315</v>
      </c>
      <c r="D90" s="66">
        <v>1.0416666666666666E-2</v>
      </c>
      <c r="E90" s="59" t="s">
        <v>55</v>
      </c>
      <c r="F90" s="59">
        <f>D90+C90</f>
        <v>0.71874999999999978</v>
      </c>
      <c r="G90" s="108" t="s">
        <v>68</v>
      </c>
      <c r="H90" s="108"/>
      <c r="I90" s="108"/>
      <c r="J90" s="108"/>
      <c r="K90" s="108"/>
      <c r="L90" s="108"/>
      <c r="M90" s="108"/>
      <c r="N90" s="108"/>
      <c r="O90" s="108"/>
      <c r="P90" s="56"/>
    </row>
    <row r="91" spans="1:16" ht="44.25" hidden="1" customHeight="1" x14ac:dyDescent="0.25">
      <c r="A91" s="37"/>
      <c r="B91" s="56"/>
      <c r="C91" s="41"/>
      <c r="D91" s="65"/>
      <c r="E91" s="41"/>
      <c r="F91" s="41"/>
      <c r="G91" s="116" t="s">
        <v>129</v>
      </c>
      <c r="H91" s="116"/>
      <c r="I91" s="116"/>
      <c r="J91" s="116"/>
      <c r="K91" s="116"/>
      <c r="L91" s="116"/>
      <c r="M91" s="116"/>
      <c r="N91" s="116"/>
      <c r="O91" s="116"/>
      <c r="P91" s="56"/>
    </row>
    <row r="92" spans="1:16" ht="44.25" customHeight="1" x14ac:dyDescent="0.25">
      <c r="A92" s="37"/>
      <c r="B92" s="56"/>
      <c r="C92" s="41"/>
      <c r="D92" s="65"/>
      <c r="E92" s="41"/>
      <c r="F92" s="41"/>
      <c r="G92" s="116" t="s">
        <v>60</v>
      </c>
      <c r="H92" s="116"/>
      <c r="I92" s="116"/>
      <c r="J92" s="116"/>
      <c r="K92" s="116"/>
      <c r="L92" s="116"/>
      <c r="M92" s="116"/>
      <c r="N92" s="116"/>
      <c r="O92" s="116"/>
      <c r="P92" s="56"/>
    </row>
    <row r="93" spans="1:16" ht="30.75" customHeight="1" x14ac:dyDescent="0.25">
      <c r="A93" s="37"/>
      <c r="B93" s="56"/>
      <c r="C93" s="41"/>
      <c r="D93" s="41"/>
      <c r="E93" s="54"/>
      <c r="F93" s="41"/>
      <c r="G93" s="69"/>
      <c r="H93" s="70"/>
      <c r="I93" s="71"/>
      <c r="J93" s="71"/>
      <c r="K93" s="71"/>
      <c r="L93" s="71"/>
      <c r="M93" s="73"/>
      <c r="N93" s="73"/>
      <c r="P93" s="56"/>
    </row>
    <row r="94" spans="1:16" ht="44.25" customHeight="1" x14ac:dyDescent="0.65">
      <c r="A94" s="37"/>
      <c r="B94" s="56"/>
      <c r="C94" s="110" t="s">
        <v>66</v>
      </c>
      <c r="D94" s="111"/>
      <c r="E94" s="111"/>
      <c r="F94" s="111"/>
      <c r="G94" s="112"/>
      <c r="H94" s="111"/>
      <c r="I94" s="111"/>
      <c r="J94" s="111"/>
      <c r="K94" s="111"/>
      <c r="L94" s="111"/>
      <c r="M94" s="111"/>
      <c r="N94" s="111"/>
      <c r="O94" s="60"/>
      <c r="P94" s="56"/>
    </row>
    <row r="95" spans="1:16" ht="44.25" customHeight="1" x14ac:dyDescent="0.55000000000000004">
      <c r="A95" s="37"/>
      <c r="B95" s="56"/>
      <c r="C95" s="113" t="s">
        <v>67</v>
      </c>
      <c r="D95" s="114"/>
      <c r="E95" s="114"/>
      <c r="F95" s="114"/>
      <c r="G95" s="115"/>
      <c r="H95" s="114"/>
      <c r="I95" s="114"/>
      <c r="J95" s="114"/>
      <c r="K95" s="114"/>
      <c r="L95" s="114"/>
      <c r="M95" s="114"/>
      <c r="N95" s="114"/>
      <c r="O95" s="114"/>
      <c r="P95" s="56"/>
    </row>
    <row r="96" spans="1:16" ht="15" customHeight="1" x14ac:dyDescent="0.25">
      <c r="A96" s="37"/>
      <c r="B96" s="56"/>
      <c r="C96" s="57"/>
      <c r="D96" s="56"/>
      <c r="E96" s="56"/>
      <c r="F96" s="56"/>
      <c r="G96" s="56"/>
      <c r="H96" s="57"/>
      <c r="I96" s="56"/>
      <c r="J96" s="57"/>
      <c r="K96" s="56"/>
      <c r="L96" s="57"/>
      <c r="M96" s="56"/>
      <c r="N96" s="57"/>
      <c r="O96" s="56"/>
      <c r="P96" s="56"/>
    </row>
    <row r="97" spans="1:18" ht="44.25" hidden="1" customHeight="1" x14ac:dyDescent="0.25">
      <c r="A97" s="37"/>
      <c r="B97" s="56"/>
      <c r="C97" s="62">
        <v>0.45833333333333331</v>
      </c>
      <c r="D97" s="66">
        <v>6.9444444444444441E-3</v>
      </c>
      <c r="E97" s="62" t="s">
        <v>55</v>
      </c>
      <c r="F97" s="62">
        <f>D97+C97</f>
        <v>0.46527777777777773</v>
      </c>
      <c r="G97" s="108" t="s">
        <v>130</v>
      </c>
      <c r="H97" s="108"/>
      <c r="I97" s="108"/>
      <c r="J97" s="108"/>
      <c r="K97" s="108"/>
      <c r="L97" s="108"/>
      <c r="M97" s="108"/>
      <c r="N97" s="108"/>
      <c r="O97" s="108"/>
      <c r="P97" s="56"/>
    </row>
    <row r="98" spans="1:18" ht="44.25" hidden="1" customHeight="1" x14ac:dyDescent="0.25">
      <c r="A98" s="37"/>
      <c r="B98" s="56"/>
      <c r="C98" s="62">
        <f t="shared" ref="C98:C103" si="15">F97</f>
        <v>0.46527777777777773</v>
      </c>
      <c r="D98" s="66">
        <v>2.0833333333333332E-2</v>
      </c>
      <c r="E98" s="62" t="s">
        <v>55</v>
      </c>
      <c r="F98" s="62">
        <f>D98+C98</f>
        <v>0.48611111111111105</v>
      </c>
      <c r="G98" s="108" t="s">
        <v>233</v>
      </c>
      <c r="H98" s="108"/>
      <c r="I98" s="108"/>
      <c r="J98" s="108"/>
      <c r="K98" s="108"/>
      <c r="L98" s="108"/>
      <c r="M98" s="108"/>
      <c r="N98" s="108"/>
      <c r="O98" s="108"/>
      <c r="P98" s="56"/>
    </row>
    <row r="99" spans="1:18" ht="39" customHeight="1" x14ac:dyDescent="0.25">
      <c r="A99" s="37"/>
      <c r="B99" s="56"/>
      <c r="C99" s="62">
        <f t="shared" si="15"/>
        <v>0.48611111111111105</v>
      </c>
      <c r="D99" s="66">
        <v>1.3888888888888888E-2</v>
      </c>
      <c r="E99" s="62" t="s">
        <v>55</v>
      </c>
      <c r="F99" s="62">
        <f t="shared" ref="F99:F100" si="16">C99+D99</f>
        <v>0.49999999999999994</v>
      </c>
      <c r="G99" s="108" t="s">
        <v>236</v>
      </c>
      <c r="H99" s="109"/>
      <c r="I99" s="109"/>
      <c r="J99" s="109"/>
      <c r="K99" s="109"/>
      <c r="L99" s="109"/>
      <c r="M99" s="109"/>
      <c r="N99" s="109"/>
      <c r="O99" s="109"/>
      <c r="P99" s="88"/>
      <c r="Q99" s="89"/>
      <c r="R99" s="89"/>
    </row>
    <row r="100" spans="1:18" ht="44.25" customHeight="1" x14ac:dyDescent="0.25">
      <c r="A100" s="37"/>
      <c r="B100" s="56"/>
      <c r="C100" s="62">
        <f t="shared" si="15"/>
        <v>0.49999999999999994</v>
      </c>
      <c r="D100" s="66">
        <v>5.2083333333333336E-2</v>
      </c>
      <c r="E100" s="62" t="s">
        <v>55</v>
      </c>
      <c r="F100" s="62">
        <f t="shared" si="16"/>
        <v>0.55208333333333326</v>
      </c>
      <c r="G100" s="101" t="s">
        <v>198</v>
      </c>
      <c r="H100" s="101"/>
      <c r="I100" s="101"/>
      <c r="J100" s="101"/>
      <c r="K100" s="101"/>
      <c r="L100" s="101"/>
      <c r="M100" s="101"/>
      <c r="N100" s="101"/>
      <c r="O100" s="101"/>
      <c r="P100" s="61"/>
      <c r="Q100" s="61"/>
    </row>
    <row r="101" spans="1:18" ht="44.25" customHeight="1" x14ac:dyDescent="0.25">
      <c r="A101" s="37"/>
      <c r="B101" s="56"/>
      <c r="C101" s="62">
        <f t="shared" si="15"/>
        <v>0.55208333333333326</v>
      </c>
      <c r="D101" s="66">
        <v>4.1666666666666664E-2</v>
      </c>
      <c r="E101" s="62" t="s">
        <v>55</v>
      </c>
      <c r="F101" s="62">
        <f t="shared" ref="F101" si="17">C101+D101</f>
        <v>0.59374999999999989</v>
      </c>
      <c r="G101" s="101" t="s">
        <v>65</v>
      </c>
      <c r="H101" s="101"/>
      <c r="I101" s="101"/>
      <c r="J101" s="101"/>
      <c r="K101" s="101"/>
      <c r="L101" s="101"/>
      <c r="M101" s="101"/>
      <c r="N101" s="101"/>
      <c r="O101" s="101"/>
      <c r="P101" s="56"/>
    </row>
    <row r="102" spans="1:18" ht="44.25" customHeight="1" x14ac:dyDescent="0.25">
      <c r="A102" s="37"/>
      <c r="B102" s="56"/>
      <c r="C102" s="59">
        <f t="shared" si="15"/>
        <v>0.59374999999999989</v>
      </c>
      <c r="D102" s="66">
        <v>2.0833333333333332E-2</v>
      </c>
      <c r="E102" s="59" t="s">
        <v>55</v>
      </c>
      <c r="F102" s="59">
        <f>D102+C102</f>
        <v>0.61458333333333326</v>
      </c>
      <c r="G102" s="108" t="s">
        <v>68</v>
      </c>
      <c r="H102" s="108"/>
      <c r="I102" s="108"/>
      <c r="J102" s="108"/>
      <c r="K102" s="108"/>
      <c r="L102" s="108"/>
      <c r="M102" s="108"/>
      <c r="N102" s="108"/>
      <c r="O102" s="108"/>
      <c r="P102" s="56"/>
    </row>
    <row r="103" spans="1:18" ht="44.25" hidden="1" customHeight="1" x14ac:dyDescent="0.25">
      <c r="A103" s="37"/>
      <c r="B103" s="56"/>
      <c r="C103" s="59">
        <f t="shared" si="15"/>
        <v>0.61458333333333326</v>
      </c>
      <c r="D103" s="66">
        <v>2.0833333333333332E-2</v>
      </c>
      <c r="E103" s="59" t="s">
        <v>55</v>
      </c>
      <c r="F103" s="59">
        <f>D103+C103</f>
        <v>0.63541666666666663</v>
      </c>
      <c r="G103" s="108" t="s">
        <v>127</v>
      </c>
      <c r="H103" s="108"/>
      <c r="I103" s="108"/>
      <c r="J103" s="108"/>
      <c r="K103" s="108"/>
      <c r="L103" s="108"/>
      <c r="M103" s="108"/>
      <c r="N103" s="108"/>
      <c r="O103" s="108"/>
      <c r="P103" s="56"/>
    </row>
    <row r="104" spans="1:18" ht="69.75" hidden="1" customHeight="1" x14ac:dyDescent="0.25">
      <c r="A104" s="37"/>
      <c r="B104" s="56"/>
      <c r="C104" s="98">
        <f>F99</f>
        <v>0.49999999999999994</v>
      </c>
      <c r="D104" s="99">
        <v>9.7222222222222224E-2</v>
      </c>
      <c r="E104" s="98" t="s">
        <v>55</v>
      </c>
      <c r="F104" s="98">
        <f>D104+C104</f>
        <v>0.59722222222222221</v>
      </c>
      <c r="G104" s="117" t="s">
        <v>197</v>
      </c>
      <c r="H104" s="117"/>
      <c r="I104" s="117"/>
      <c r="J104" s="117"/>
      <c r="K104" s="117"/>
      <c r="L104" s="117"/>
      <c r="M104" s="117"/>
      <c r="N104" s="117"/>
      <c r="O104" s="117"/>
      <c r="P104" s="56"/>
    </row>
    <row r="105" spans="1:18" ht="44.25" customHeight="1" x14ac:dyDescent="0.25">
      <c r="A105" s="37"/>
      <c r="B105" s="56"/>
      <c r="C105" s="41"/>
      <c r="D105" s="65"/>
      <c r="E105" s="41"/>
      <c r="F105" s="41"/>
      <c r="G105" s="116" t="s">
        <v>155</v>
      </c>
      <c r="H105" s="116"/>
      <c r="I105" s="116"/>
      <c r="J105" s="116"/>
      <c r="K105" s="116"/>
      <c r="L105" s="116"/>
      <c r="M105" s="116"/>
      <c r="N105" s="116"/>
      <c r="O105" s="116"/>
      <c r="P105" s="61"/>
      <c r="Q105" s="61"/>
    </row>
    <row r="106" spans="1:18" ht="44.25" customHeight="1" x14ac:dyDescent="0.25">
      <c r="A106" s="37"/>
      <c r="B106" s="56"/>
      <c r="C106" s="41"/>
      <c r="D106" s="41"/>
      <c r="E106" s="75"/>
      <c r="F106" s="41"/>
      <c r="G106" s="72"/>
      <c r="H106" s="72"/>
      <c r="I106" s="72"/>
      <c r="J106" s="72"/>
      <c r="K106" s="72"/>
      <c r="L106" s="72"/>
      <c r="M106" s="72"/>
      <c r="N106" s="72"/>
      <c r="O106" s="72"/>
      <c r="P106" s="72"/>
      <c r="Q106" s="76"/>
    </row>
    <row r="107" spans="1:18" ht="15" x14ac:dyDescent="0.25">
      <c r="A107" s="37"/>
      <c r="B107" s="56"/>
      <c r="C107" s="118" t="s">
        <v>69</v>
      </c>
      <c r="D107" s="118"/>
      <c r="E107" s="118"/>
      <c r="F107" s="118"/>
      <c r="G107" s="118"/>
      <c r="H107" s="118"/>
      <c r="I107" s="118"/>
      <c r="J107" s="118"/>
      <c r="K107" s="118"/>
      <c r="L107" s="118"/>
      <c r="M107" s="118"/>
      <c r="N107" s="118"/>
      <c r="O107" s="118"/>
      <c r="P107" s="56"/>
    </row>
    <row r="108" spans="1:18" ht="15" x14ac:dyDescent="0.25">
      <c r="A108" s="37"/>
      <c r="B108" s="56"/>
      <c r="C108" s="118"/>
      <c r="D108" s="118"/>
      <c r="E108" s="118"/>
      <c r="F108" s="118"/>
      <c r="G108" s="118"/>
      <c r="H108" s="118"/>
      <c r="I108" s="118"/>
      <c r="J108" s="118"/>
      <c r="K108" s="118"/>
      <c r="L108" s="118"/>
      <c r="M108" s="118"/>
      <c r="N108" s="118"/>
      <c r="O108" s="118"/>
      <c r="P108" s="56"/>
    </row>
    <row r="109" spans="1:18" ht="15" x14ac:dyDescent="0.25">
      <c r="A109" s="37"/>
      <c r="B109" s="56"/>
      <c r="C109" s="118"/>
      <c r="D109" s="118"/>
      <c r="E109" s="118"/>
      <c r="F109" s="118"/>
      <c r="G109" s="118"/>
      <c r="H109" s="118"/>
      <c r="I109" s="118"/>
      <c r="J109" s="118"/>
      <c r="K109" s="118"/>
      <c r="L109" s="118"/>
      <c r="M109" s="118"/>
      <c r="N109" s="118"/>
      <c r="O109" s="118"/>
      <c r="P109" s="56"/>
    </row>
    <row r="110" spans="1:18" ht="27" customHeight="1" x14ac:dyDescent="0.25">
      <c r="A110" s="37"/>
      <c r="B110" s="56"/>
      <c r="C110" s="118"/>
      <c r="D110" s="118"/>
      <c r="E110" s="118"/>
      <c r="F110" s="118"/>
      <c r="G110" s="118"/>
      <c r="H110" s="118"/>
      <c r="I110" s="118"/>
      <c r="J110" s="118"/>
      <c r="K110" s="118"/>
      <c r="L110" s="118"/>
      <c r="M110" s="118"/>
      <c r="N110" s="118"/>
      <c r="O110" s="118"/>
      <c r="P110" s="56"/>
    </row>
    <row r="111" spans="1:18" ht="15" x14ac:dyDescent="0.25">
      <c r="A111" s="37"/>
      <c r="B111" s="56"/>
      <c r="C111" s="107" t="s">
        <v>70</v>
      </c>
      <c r="D111" s="107"/>
      <c r="E111" s="107"/>
      <c r="F111" s="107"/>
      <c r="G111" s="107"/>
      <c r="H111" s="107"/>
      <c r="I111" s="107"/>
      <c r="J111" s="107"/>
      <c r="K111" s="107"/>
      <c r="L111" s="107"/>
      <c r="M111" s="107"/>
      <c r="N111" s="107"/>
      <c r="O111" s="107"/>
      <c r="P111" s="56"/>
    </row>
    <row r="112" spans="1:18" ht="15" x14ac:dyDescent="0.25">
      <c r="A112" s="37"/>
      <c r="B112" s="56"/>
      <c r="C112" s="107"/>
      <c r="D112" s="107"/>
      <c r="E112" s="107"/>
      <c r="F112" s="107"/>
      <c r="G112" s="107"/>
      <c r="H112" s="107"/>
      <c r="I112" s="107"/>
      <c r="J112" s="107"/>
      <c r="K112" s="107"/>
      <c r="L112" s="107"/>
      <c r="M112" s="107"/>
      <c r="N112" s="107"/>
      <c r="O112" s="107"/>
      <c r="P112" s="56"/>
    </row>
    <row r="113" spans="1:16" ht="15" x14ac:dyDescent="0.25">
      <c r="A113" s="37"/>
      <c r="B113" s="56"/>
      <c r="C113" s="107"/>
      <c r="D113" s="107"/>
      <c r="E113" s="107"/>
      <c r="F113" s="107"/>
      <c r="G113" s="107"/>
      <c r="H113" s="107"/>
      <c r="I113" s="107"/>
      <c r="J113" s="107"/>
      <c r="K113" s="107"/>
      <c r="L113" s="107"/>
      <c r="M113" s="107"/>
      <c r="N113" s="107"/>
      <c r="O113" s="107"/>
      <c r="P113" s="56"/>
    </row>
    <row r="114" spans="1:16" x14ac:dyDescent="0.25">
      <c r="A114" s="37"/>
      <c r="B114" s="56"/>
      <c r="C114" s="57"/>
      <c r="D114" s="56"/>
      <c r="E114" s="56"/>
      <c r="F114" s="56"/>
      <c r="G114" s="56"/>
      <c r="H114" s="57"/>
      <c r="I114" s="56"/>
      <c r="J114" s="57"/>
      <c r="K114" s="56"/>
      <c r="L114" s="57"/>
      <c r="M114" s="56"/>
      <c r="N114" s="57"/>
      <c r="O114" s="56"/>
      <c r="P114" s="56"/>
    </row>
    <row r="115" spans="1:16" x14ac:dyDescent="0.25">
      <c r="A115" s="37"/>
      <c r="B115" s="56"/>
      <c r="C115" s="57"/>
      <c r="D115" s="56"/>
      <c r="E115" s="56"/>
      <c r="F115" s="56"/>
      <c r="G115" s="56"/>
      <c r="H115" s="57"/>
      <c r="I115" s="56"/>
      <c r="J115" s="57"/>
      <c r="K115" s="56"/>
      <c r="L115" s="57"/>
      <c r="M115" s="56"/>
      <c r="N115" s="57"/>
      <c r="O115" s="56"/>
      <c r="P115" s="56"/>
    </row>
  </sheetData>
  <mergeCells count="108">
    <mergeCell ref="C9:P9"/>
    <mergeCell ref="L39:O39"/>
    <mergeCell ref="C33:G33"/>
    <mergeCell ref="H33:K33"/>
    <mergeCell ref="L33:O33"/>
    <mergeCell ref="C25:G25"/>
    <mergeCell ref="H25:K25"/>
    <mergeCell ref="L25:O25"/>
    <mergeCell ref="C26:G26"/>
    <mergeCell ref="H26:K26"/>
    <mergeCell ref="L26:O26"/>
    <mergeCell ref="C19:G19"/>
    <mergeCell ref="H19:K19"/>
    <mergeCell ref="L19:O19"/>
    <mergeCell ref="C20:G20"/>
    <mergeCell ref="H20:K20"/>
    <mergeCell ref="L20:O20"/>
    <mergeCell ref="C21:G21"/>
    <mergeCell ref="H21:K21"/>
    <mergeCell ref="L21:O21"/>
    <mergeCell ref="C29:O29"/>
    <mergeCell ref="C13:O13"/>
    <mergeCell ref="C15:O15"/>
    <mergeCell ref="C17:O17"/>
    <mergeCell ref="C3:O3"/>
    <mergeCell ref="C5:O5"/>
    <mergeCell ref="C7:O7"/>
    <mergeCell ref="C11:O11"/>
    <mergeCell ref="G97:O97"/>
    <mergeCell ref="G98:O98"/>
    <mergeCell ref="G103:O103"/>
    <mergeCell ref="G102:O102"/>
    <mergeCell ref="C22:G22"/>
    <mergeCell ref="H22:K22"/>
    <mergeCell ref="L22:O22"/>
    <mergeCell ref="G90:O90"/>
    <mergeCell ref="C41:O41"/>
    <mergeCell ref="C42:G42"/>
    <mergeCell ref="H42:K42"/>
    <mergeCell ref="L42:O42"/>
    <mergeCell ref="C43:G43"/>
    <mergeCell ref="H43:K43"/>
    <mergeCell ref="L43:O43"/>
    <mergeCell ref="C44:G44"/>
    <mergeCell ref="H44:K44"/>
    <mergeCell ref="L44:O44"/>
    <mergeCell ref="H23:K23"/>
    <mergeCell ref="L23:O23"/>
    <mergeCell ref="C18:G18"/>
    <mergeCell ref="H18:K18"/>
    <mergeCell ref="L18:O18"/>
    <mergeCell ref="C36:G36"/>
    <mergeCell ref="H36:K36"/>
    <mergeCell ref="C30:G30"/>
    <mergeCell ref="H30:K30"/>
    <mergeCell ref="L30:O30"/>
    <mergeCell ref="C31:G31"/>
    <mergeCell ref="H31:K31"/>
    <mergeCell ref="L31:O31"/>
    <mergeCell ref="C35:G35"/>
    <mergeCell ref="H35:K35"/>
    <mergeCell ref="L35:O35"/>
    <mergeCell ref="C23:G23"/>
    <mergeCell ref="C32:G32"/>
    <mergeCell ref="H32:K32"/>
    <mergeCell ref="L32:O32"/>
    <mergeCell ref="G86:O86"/>
    <mergeCell ref="G87:O87"/>
    <mergeCell ref="G88:O88"/>
    <mergeCell ref="G91:O91"/>
    <mergeCell ref="C47:O47"/>
    <mergeCell ref="L37:O37"/>
    <mergeCell ref="L36:O36"/>
    <mergeCell ref="C37:G37"/>
    <mergeCell ref="C34:G34"/>
    <mergeCell ref="H34:K34"/>
    <mergeCell ref="L34:O34"/>
    <mergeCell ref="C38:G38"/>
    <mergeCell ref="H38:K38"/>
    <mergeCell ref="L38:O38"/>
    <mergeCell ref="C39:G39"/>
    <mergeCell ref="H39:K39"/>
    <mergeCell ref="H37:K37"/>
    <mergeCell ref="G89:O89"/>
    <mergeCell ref="G100:O100"/>
    <mergeCell ref="C27:G27"/>
    <mergeCell ref="H27:K27"/>
    <mergeCell ref="L27:O27"/>
    <mergeCell ref="C24:G24"/>
    <mergeCell ref="H24:K24"/>
    <mergeCell ref="L24:O24"/>
    <mergeCell ref="C111:O113"/>
    <mergeCell ref="G99:O99"/>
    <mergeCell ref="C77:N77"/>
    <mergeCell ref="C78:O78"/>
    <mergeCell ref="G101:O101"/>
    <mergeCell ref="G92:O92"/>
    <mergeCell ref="G80:O80"/>
    <mergeCell ref="G81:O81"/>
    <mergeCell ref="G104:O104"/>
    <mergeCell ref="G82:O82"/>
    <mergeCell ref="G83:O83"/>
    <mergeCell ref="G105:O105"/>
    <mergeCell ref="C107:O110"/>
    <mergeCell ref="C94:N94"/>
    <mergeCell ref="C95:O95"/>
    <mergeCell ref="G84:O84"/>
    <mergeCell ref="G85:O85"/>
  </mergeCells>
  <pageMargins left="0.511811024" right="0.511811024" top="0.78740157499999996" bottom="0.78740157499999996" header="0.31496062000000002" footer="0.31496062000000002"/>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28027-8F90-4659-B608-54DE07E176DE}">
  <sheetPr>
    <pageSetUpPr fitToPage="1"/>
  </sheetPr>
  <dimension ref="A1:Z89"/>
  <sheetViews>
    <sheetView showGridLines="0" topLeftCell="A48" zoomScale="40" zoomScaleNormal="40" workbookViewId="0">
      <selection activeCell="F46" sqref="F46:Q46"/>
    </sheetView>
  </sheetViews>
  <sheetFormatPr defaultRowHeight="15.75" x14ac:dyDescent="0.25"/>
  <cols>
    <col min="1" max="1" width="6.7109375" customWidth="1"/>
    <col min="2" max="2" width="7.5703125" customWidth="1"/>
    <col min="3" max="3" width="24.5703125" style="44" customWidth="1"/>
    <col min="4" max="4" width="22.42578125" customWidth="1"/>
    <col min="5" max="5" width="47.5703125" customWidth="1"/>
    <col min="6" max="7" width="16.5703125" style="44" customWidth="1"/>
    <col min="8" max="8" width="7.42578125" customWidth="1"/>
    <col min="9" max="9" width="16.5703125" style="44" customWidth="1"/>
    <col min="10" max="10" width="16" customWidth="1"/>
    <col min="11" max="11" width="16.5703125" style="44" customWidth="1"/>
    <col min="12" max="12" width="11" customWidth="1"/>
    <col min="13" max="14" width="7.42578125" customWidth="1"/>
    <col min="15" max="15" width="14.28515625" customWidth="1"/>
    <col min="16" max="16" width="16.5703125" style="44" customWidth="1"/>
    <col min="17" max="17" width="19.5703125" customWidth="1"/>
    <col min="18" max="18" width="25.28515625" customWidth="1"/>
    <col min="19" max="19" width="27.7109375" customWidth="1"/>
  </cols>
  <sheetData>
    <row r="1" spans="1:19" x14ac:dyDescent="0.25">
      <c r="A1" s="37"/>
      <c r="C1" s="38"/>
      <c r="F1" s="38"/>
      <c r="G1" s="38"/>
      <c r="I1" s="38"/>
      <c r="K1" s="38"/>
      <c r="P1" s="38"/>
    </row>
    <row r="2" spans="1:19" ht="68.25" customHeight="1" x14ac:dyDescent="0.25">
      <c r="A2" s="37"/>
      <c r="C2" s="38"/>
      <c r="F2" s="38"/>
      <c r="G2" s="38"/>
      <c r="I2" s="38"/>
      <c r="K2" s="38"/>
      <c r="P2" s="38"/>
    </row>
    <row r="3" spans="1:19" ht="51.75" customHeight="1" x14ac:dyDescent="0.7">
      <c r="A3" s="37"/>
      <c r="C3" s="186" t="s">
        <v>11</v>
      </c>
      <c r="D3" s="186"/>
      <c r="E3" s="186"/>
      <c r="F3" s="186"/>
      <c r="G3" s="186"/>
      <c r="H3" s="186"/>
      <c r="I3" s="186"/>
      <c r="J3" s="186"/>
      <c r="K3" s="186"/>
      <c r="L3" s="186"/>
      <c r="M3" s="186"/>
      <c r="N3" s="186"/>
      <c r="O3" s="186"/>
      <c r="P3" s="186"/>
      <c r="Q3" s="186"/>
    </row>
    <row r="4" spans="1:19" ht="30" customHeight="1" x14ac:dyDescent="0.7">
      <c r="A4" s="37"/>
      <c r="C4" s="39"/>
      <c r="D4" s="40"/>
      <c r="E4" s="40"/>
      <c r="F4" s="39"/>
      <c r="G4" s="39"/>
      <c r="H4" s="40"/>
      <c r="I4" s="39"/>
      <c r="J4" s="40"/>
      <c r="K4" s="39"/>
      <c r="L4" s="40"/>
      <c r="M4" s="40"/>
      <c r="N4" s="40"/>
      <c r="O4" s="40"/>
      <c r="P4" s="39"/>
      <c r="Q4" s="40"/>
    </row>
    <row r="5" spans="1:19" s="47" customFormat="1" ht="69.95" customHeight="1" thickBot="1" x14ac:dyDescent="0.3">
      <c r="A5" s="46"/>
      <c r="C5" s="223" t="s">
        <v>12</v>
      </c>
      <c r="D5" s="223"/>
      <c r="E5" s="223"/>
      <c r="F5" s="175" t="s">
        <v>13</v>
      </c>
      <c r="G5" s="175"/>
      <c r="H5" s="175"/>
      <c r="I5" s="162" t="s">
        <v>14</v>
      </c>
      <c r="J5" s="162"/>
      <c r="K5" s="162" t="s">
        <v>15</v>
      </c>
      <c r="L5" s="162"/>
      <c r="M5" s="162" t="s">
        <v>16</v>
      </c>
      <c r="N5" s="162"/>
      <c r="O5" s="162"/>
      <c r="P5" s="162" t="s">
        <v>17</v>
      </c>
      <c r="Q5" s="162"/>
      <c r="R5" s="162" t="s">
        <v>18</v>
      </c>
      <c r="S5" s="162"/>
    </row>
    <row r="6" spans="1:19" ht="50.1" hidden="1" customHeight="1" x14ac:dyDescent="0.25">
      <c r="A6" s="37"/>
      <c r="C6" s="153" t="s">
        <v>114</v>
      </c>
      <c r="D6" s="153"/>
      <c r="E6" s="153"/>
      <c r="F6" s="156"/>
      <c r="G6" s="156"/>
      <c r="H6" s="156"/>
      <c r="I6" s="153">
        <v>35</v>
      </c>
      <c r="J6" s="153"/>
      <c r="K6" s="153" t="s">
        <v>19</v>
      </c>
      <c r="L6" s="153"/>
      <c r="M6" s="153" t="s">
        <v>120</v>
      </c>
      <c r="N6" s="153"/>
      <c r="O6" s="153"/>
      <c r="P6" s="159" t="s">
        <v>20</v>
      </c>
      <c r="Q6" s="159"/>
      <c r="R6" s="153" t="s">
        <v>20</v>
      </c>
      <c r="S6" s="153"/>
    </row>
    <row r="7" spans="1:19" ht="50.1" customHeight="1" x14ac:dyDescent="0.25">
      <c r="A7" s="37"/>
      <c r="C7" s="153" t="s">
        <v>128</v>
      </c>
      <c r="D7" s="153"/>
      <c r="E7" s="153"/>
      <c r="F7" s="156" t="s">
        <v>131</v>
      </c>
      <c r="G7" s="156"/>
      <c r="H7" s="156"/>
      <c r="I7" s="153">
        <v>43</v>
      </c>
      <c r="J7" s="153"/>
      <c r="K7" s="153" t="s">
        <v>19</v>
      </c>
      <c r="L7" s="153"/>
      <c r="M7" s="153" t="s">
        <v>124</v>
      </c>
      <c r="N7" s="153"/>
      <c r="O7" s="153"/>
      <c r="P7" s="159" t="s">
        <v>20</v>
      </c>
      <c r="Q7" s="159"/>
      <c r="R7" s="159" t="s">
        <v>20</v>
      </c>
      <c r="S7" s="159"/>
    </row>
    <row r="8" spans="1:19" ht="50.1" customHeight="1" x14ac:dyDescent="0.25">
      <c r="A8" s="37"/>
      <c r="C8" s="163" t="s">
        <v>135</v>
      </c>
      <c r="D8" s="163"/>
      <c r="E8" s="163"/>
      <c r="F8" s="156" t="s">
        <v>136</v>
      </c>
      <c r="G8" s="156"/>
      <c r="H8" s="156"/>
      <c r="I8" s="153">
        <v>41</v>
      </c>
      <c r="J8" s="153"/>
      <c r="K8" s="153" t="s">
        <v>19</v>
      </c>
      <c r="L8" s="153"/>
      <c r="M8" s="159" t="s">
        <v>124</v>
      </c>
      <c r="N8" s="159"/>
      <c r="O8" s="159"/>
      <c r="P8" s="159" t="s">
        <v>20</v>
      </c>
      <c r="Q8" s="159"/>
      <c r="R8" s="159" t="s">
        <v>20</v>
      </c>
      <c r="S8" s="159"/>
    </row>
    <row r="9" spans="1:19" ht="50.1" customHeight="1" x14ac:dyDescent="0.25">
      <c r="A9" s="37"/>
      <c r="C9" s="153" t="s">
        <v>143</v>
      </c>
      <c r="D9" s="153"/>
      <c r="E9" s="153"/>
      <c r="F9" s="156" t="s">
        <v>132</v>
      </c>
      <c r="G9" s="156"/>
      <c r="H9" s="156"/>
      <c r="I9" s="153">
        <v>41</v>
      </c>
      <c r="J9" s="153"/>
      <c r="K9" s="153" t="s">
        <v>19</v>
      </c>
      <c r="L9" s="153"/>
      <c r="M9" s="153" t="s">
        <v>123</v>
      </c>
      <c r="N9" s="153"/>
      <c r="O9" s="153"/>
      <c r="P9" s="159" t="s">
        <v>20</v>
      </c>
      <c r="Q9" s="159"/>
      <c r="R9" s="159" t="s">
        <v>20</v>
      </c>
      <c r="S9" s="159"/>
    </row>
    <row r="10" spans="1:19" ht="49.5" customHeight="1" x14ac:dyDescent="0.25">
      <c r="A10" s="37"/>
      <c r="C10" s="153" t="s">
        <v>138</v>
      </c>
      <c r="D10" s="153"/>
      <c r="E10" s="153"/>
      <c r="F10" s="156" t="s">
        <v>139</v>
      </c>
      <c r="G10" s="156"/>
      <c r="H10" s="156"/>
      <c r="I10" s="153">
        <v>36</v>
      </c>
      <c r="J10" s="153"/>
      <c r="K10" s="163" t="s">
        <v>126</v>
      </c>
      <c r="L10" s="163"/>
      <c r="M10" s="153" t="s">
        <v>122</v>
      </c>
      <c r="N10" s="153"/>
      <c r="O10" s="153"/>
      <c r="P10" s="159" t="s">
        <v>20</v>
      </c>
      <c r="Q10" s="159"/>
      <c r="R10" s="153" t="s">
        <v>20</v>
      </c>
      <c r="S10" s="153"/>
    </row>
    <row r="11" spans="1:19" ht="50.1" customHeight="1" x14ac:dyDescent="0.25">
      <c r="A11" s="37"/>
      <c r="C11" s="153" t="s">
        <v>201</v>
      </c>
      <c r="D11" s="154"/>
      <c r="E11" s="155"/>
      <c r="F11" s="156" t="s">
        <v>216</v>
      </c>
      <c r="G11" s="157"/>
      <c r="H11" s="158"/>
      <c r="I11" s="153">
        <v>41</v>
      </c>
      <c r="J11" s="155"/>
      <c r="K11" s="153" t="s">
        <v>19</v>
      </c>
      <c r="L11" s="155"/>
      <c r="M11" s="153" t="s">
        <v>119</v>
      </c>
      <c r="N11" s="154"/>
      <c r="O11" s="155"/>
      <c r="P11" s="159" t="s">
        <v>20</v>
      </c>
      <c r="Q11" s="160"/>
      <c r="R11" s="153" t="s">
        <v>20</v>
      </c>
      <c r="S11" s="154"/>
    </row>
    <row r="12" spans="1:19" ht="49.5" customHeight="1" x14ac:dyDescent="0.25">
      <c r="A12" s="37"/>
      <c r="C12" s="153" t="s">
        <v>213</v>
      </c>
      <c r="D12" s="154"/>
      <c r="E12" s="155"/>
      <c r="F12" s="156" t="s">
        <v>214</v>
      </c>
      <c r="G12" s="157"/>
      <c r="H12" s="158"/>
      <c r="I12" s="159" t="s">
        <v>20</v>
      </c>
      <c r="J12" s="160"/>
      <c r="K12" s="159" t="s">
        <v>20</v>
      </c>
      <c r="L12" s="160"/>
      <c r="M12" s="161" t="s">
        <v>20</v>
      </c>
      <c r="N12" s="161"/>
      <c r="O12" s="161"/>
      <c r="P12" s="159" t="s">
        <v>20</v>
      </c>
      <c r="Q12" s="160"/>
      <c r="R12" s="159" t="s">
        <v>20</v>
      </c>
      <c r="S12" s="160"/>
    </row>
    <row r="13" spans="1:19" ht="50.1" customHeight="1" x14ac:dyDescent="0.25">
      <c r="A13" s="37"/>
      <c r="C13" s="153" t="s">
        <v>118</v>
      </c>
      <c r="D13" s="154"/>
      <c r="E13" s="155"/>
      <c r="F13" s="156" t="s">
        <v>137</v>
      </c>
      <c r="G13" s="157"/>
      <c r="H13" s="158"/>
      <c r="I13" s="159" t="s">
        <v>20</v>
      </c>
      <c r="J13" s="160"/>
      <c r="K13" s="159" t="s">
        <v>20</v>
      </c>
      <c r="L13" s="160"/>
      <c r="M13" s="161" t="s">
        <v>20</v>
      </c>
      <c r="N13" s="161"/>
      <c r="O13" s="161"/>
      <c r="P13" s="159" t="s">
        <v>20</v>
      </c>
      <c r="Q13" s="160"/>
      <c r="R13" s="159" t="s">
        <v>20</v>
      </c>
      <c r="S13" s="160"/>
    </row>
    <row r="14" spans="1:19" ht="50.1" customHeight="1" x14ac:dyDescent="0.25">
      <c r="A14" s="37"/>
      <c r="C14" s="153" t="s">
        <v>148</v>
      </c>
      <c r="D14" s="154"/>
      <c r="E14" s="155"/>
      <c r="F14" s="156" t="s">
        <v>151</v>
      </c>
      <c r="G14" s="157"/>
      <c r="H14" s="158"/>
      <c r="I14" s="153" t="s">
        <v>20</v>
      </c>
      <c r="J14" s="155"/>
      <c r="K14" s="153" t="s">
        <v>19</v>
      </c>
      <c r="L14" s="155"/>
      <c r="M14" s="153" t="s">
        <v>119</v>
      </c>
      <c r="N14" s="154"/>
      <c r="O14" s="155"/>
      <c r="P14" s="159" t="s">
        <v>20</v>
      </c>
      <c r="Q14" s="160"/>
      <c r="R14" s="153" t="s">
        <v>20</v>
      </c>
      <c r="S14" s="154"/>
    </row>
    <row r="15" spans="1:19" ht="49.5" customHeight="1" x14ac:dyDescent="0.25">
      <c r="A15" s="37"/>
      <c r="C15" s="153" t="s">
        <v>149</v>
      </c>
      <c r="D15" s="154"/>
      <c r="E15" s="155"/>
      <c r="F15" s="156" t="s">
        <v>150</v>
      </c>
      <c r="G15" s="157"/>
      <c r="H15" s="158"/>
      <c r="I15" s="159" t="s">
        <v>20</v>
      </c>
      <c r="J15" s="160"/>
      <c r="K15" s="159" t="s">
        <v>20</v>
      </c>
      <c r="L15" s="160"/>
      <c r="M15" s="161" t="s">
        <v>20</v>
      </c>
      <c r="N15" s="161"/>
      <c r="O15" s="161"/>
      <c r="P15" s="159" t="s">
        <v>20</v>
      </c>
      <c r="Q15" s="160"/>
      <c r="R15" s="159" t="s">
        <v>20</v>
      </c>
      <c r="S15" s="160"/>
    </row>
    <row r="16" spans="1:19" ht="50.1" customHeight="1" x14ac:dyDescent="0.25">
      <c r="A16" s="37"/>
      <c r="C16" s="153" t="s">
        <v>200</v>
      </c>
      <c r="D16" s="154"/>
      <c r="E16" s="155"/>
      <c r="F16" s="156" t="s">
        <v>215</v>
      </c>
      <c r="G16" s="157"/>
      <c r="H16" s="158"/>
      <c r="I16" s="159" t="s">
        <v>20</v>
      </c>
      <c r="J16" s="160"/>
      <c r="K16" s="159" t="s">
        <v>20</v>
      </c>
      <c r="L16" s="160"/>
      <c r="M16" s="161" t="s">
        <v>20</v>
      </c>
      <c r="N16" s="161"/>
      <c r="O16" s="161"/>
      <c r="P16" s="159" t="s">
        <v>20</v>
      </c>
      <c r="Q16" s="160"/>
      <c r="R16" s="159" t="s">
        <v>20</v>
      </c>
      <c r="S16" s="160"/>
    </row>
    <row r="17" spans="1:19" ht="30" customHeight="1" x14ac:dyDescent="0.7">
      <c r="A17" s="37"/>
      <c r="C17" s="39"/>
      <c r="D17" s="40"/>
      <c r="E17" s="40"/>
      <c r="F17" s="39"/>
      <c r="G17" s="39"/>
      <c r="H17" s="40"/>
      <c r="I17" s="39"/>
      <c r="J17" s="40"/>
      <c r="K17" s="39"/>
      <c r="L17" s="40"/>
      <c r="M17" s="40"/>
      <c r="N17" s="40"/>
      <c r="O17" s="40"/>
      <c r="P17" s="39"/>
      <c r="Q17" s="40"/>
    </row>
    <row r="18" spans="1:19" ht="50.1" hidden="1" customHeight="1" x14ac:dyDescent="0.7">
      <c r="A18" s="37"/>
      <c r="C18" s="186" t="s">
        <v>21</v>
      </c>
      <c r="D18" s="186"/>
      <c r="E18" s="186"/>
      <c r="F18" s="186"/>
      <c r="G18" s="186"/>
      <c r="H18" s="186"/>
      <c r="I18" s="186"/>
      <c r="J18" s="186"/>
      <c r="K18" s="186"/>
      <c r="L18" s="186"/>
      <c r="M18" s="186"/>
      <c r="N18" s="186"/>
      <c r="O18" s="186"/>
      <c r="P18" s="186"/>
      <c r="Q18" s="186"/>
    </row>
    <row r="19" spans="1:19" ht="30" hidden="1" customHeight="1" x14ac:dyDescent="0.7">
      <c r="A19" s="37"/>
      <c r="C19" s="48"/>
      <c r="D19" s="48"/>
      <c r="E19" s="48"/>
      <c r="F19" s="48"/>
      <c r="G19" s="48"/>
      <c r="H19" s="48"/>
      <c r="I19" s="48"/>
      <c r="J19" s="48"/>
      <c r="K19" s="48"/>
      <c r="L19" s="48"/>
      <c r="M19" s="48"/>
      <c r="N19" s="48"/>
      <c r="O19" s="48"/>
      <c r="P19" s="48"/>
      <c r="Q19" s="48"/>
    </row>
    <row r="20" spans="1:19" s="47" customFormat="1" ht="69.95" hidden="1" customHeight="1" thickBot="1" x14ac:dyDescent="0.3">
      <c r="A20" s="46"/>
      <c r="C20" s="223" t="s">
        <v>12</v>
      </c>
      <c r="D20" s="223"/>
      <c r="E20" s="223"/>
      <c r="F20" s="175" t="s">
        <v>13</v>
      </c>
      <c r="G20" s="176"/>
      <c r="H20" s="225"/>
      <c r="I20" s="162" t="s">
        <v>14</v>
      </c>
      <c r="J20" s="224"/>
      <c r="K20" s="162" t="s">
        <v>15</v>
      </c>
      <c r="L20" s="224"/>
      <c r="M20" s="162" t="s">
        <v>140</v>
      </c>
      <c r="N20" s="226"/>
      <c r="O20" s="224"/>
      <c r="P20" s="162" t="s">
        <v>17</v>
      </c>
      <c r="Q20" s="224"/>
      <c r="R20" s="162" t="s">
        <v>18</v>
      </c>
      <c r="S20" s="224"/>
    </row>
    <row r="21" spans="1:19" ht="50.1" hidden="1" customHeight="1" x14ac:dyDescent="0.25">
      <c r="A21" s="37"/>
      <c r="C21" s="204" t="s">
        <v>121</v>
      </c>
      <c r="D21" s="205"/>
      <c r="E21" s="206"/>
      <c r="F21" s="207" t="s">
        <v>141</v>
      </c>
      <c r="G21" s="208"/>
      <c r="H21" s="209"/>
      <c r="I21" s="153" t="s">
        <v>20</v>
      </c>
      <c r="J21" s="155"/>
      <c r="K21" s="153" t="s">
        <v>20</v>
      </c>
      <c r="L21" s="155"/>
      <c r="M21" s="210">
        <v>85</v>
      </c>
      <c r="N21" s="211"/>
      <c r="O21" s="212"/>
      <c r="P21" s="163" t="s">
        <v>20</v>
      </c>
      <c r="Q21" s="214"/>
      <c r="R21" s="153" t="s">
        <v>20</v>
      </c>
      <c r="S21" s="154"/>
    </row>
    <row r="22" spans="1:19" ht="50.1" hidden="1" customHeight="1" thickBot="1" x14ac:dyDescent="0.3">
      <c r="A22" s="37"/>
      <c r="C22" s="159" t="s">
        <v>133</v>
      </c>
      <c r="D22" s="215"/>
      <c r="E22" s="160"/>
      <c r="F22" s="207" t="s">
        <v>134</v>
      </c>
      <c r="G22" s="216"/>
      <c r="H22" s="217"/>
      <c r="I22" s="159" t="s">
        <v>125</v>
      </c>
      <c r="J22" s="160"/>
      <c r="K22" s="159" t="s">
        <v>20</v>
      </c>
      <c r="L22" s="160"/>
      <c r="M22" s="218">
        <v>52</v>
      </c>
      <c r="N22" s="219"/>
      <c r="O22" s="220"/>
      <c r="P22" s="153" t="s">
        <v>20</v>
      </c>
      <c r="Q22" s="155"/>
      <c r="R22" s="153" t="s">
        <v>20</v>
      </c>
      <c r="S22" s="154"/>
    </row>
    <row r="23" spans="1:19" ht="50.1" hidden="1" customHeight="1" x14ac:dyDescent="0.25">
      <c r="A23" s="37"/>
      <c r="C23" s="153" t="s">
        <v>114</v>
      </c>
      <c r="D23" s="154"/>
      <c r="E23" s="155"/>
      <c r="F23" s="156" t="s">
        <v>144</v>
      </c>
      <c r="G23" s="157"/>
      <c r="H23" s="158"/>
      <c r="I23" s="153" t="s">
        <v>20</v>
      </c>
      <c r="J23" s="155"/>
      <c r="K23" s="221" t="s">
        <v>20</v>
      </c>
      <c r="L23" s="222"/>
      <c r="M23" s="204" t="s">
        <v>20</v>
      </c>
      <c r="N23" s="205"/>
      <c r="O23" s="206"/>
      <c r="P23" s="159" t="s">
        <v>20</v>
      </c>
      <c r="Q23" s="160"/>
      <c r="R23" s="153" t="s">
        <v>20</v>
      </c>
      <c r="S23" s="154"/>
    </row>
    <row r="24" spans="1:19" ht="30" customHeight="1" x14ac:dyDescent="0.25">
      <c r="A24" s="37"/>
      <c r="C24" s="38"/>
      <c r="F24" s="38"/>
      <c r="G24" s="38"/>
      <c r="I24" s="38"/>
      <c r="K24" s="38"/>
      <c r="P24" s="38"/>
    </row>
    <row r="25" spans="1:19" ht="50.1" customHeight="1" x14ac:dyDescent="0.7">
      <c r="A25" s="37"/>
      <c r="C25" s="186" t="s">
        <v>22</v>
      </c>
      <c r="D25" s="186"/>
      <c r="E25" s="186"/>
      <c r="F25" s="186"/>
      <c r="G25" s="186"/>
      <c r="H25" s="186"/>
      <c r="I25" s="186"/>
      <c r="J25" s="186"/>
      <c r="K25" s="186"/>
      <c r="L25" s="186"/>
      <c r="M25" s="186"/>
      <c r="N25" s="186"/>
      <c r="O25" s="186"/>
      <c r="P25" s="186"/>
      <c r="Q25" s="186"/>
    </row>
    <row r="26" spans="1:19" ht="24.75" customHeight="1" x14ac:dyDescent="0.7">
      <c r="A26" s="37"/>
      <c r="C26" s="45"/>
      <c r="D26" s="45"/>
      <c r="E26" s="45"/>
      <c r="F26" s="45"/>
      <c r="G26" s="45"/>
      <c r="H26" s="45"/>
      <c r="I26" s="45"/>
      <c r="J26" s="45"/>
      <c r="K26" s="45"/>
      <c r="L26" s="45"/>
      <c r="M26" s="45"/>
      <c r="N26" s="45"/>
      <c r="O26" s="45"/>
      <c r="P26" s="45"/>
      <c r="Q26" s="45"/>
    </row>
    <row r="27" spans="1:19" ht="42" x14ac:dyDescent="0.65">
      <c r="A27" s="37"/>
      <c r="C27" s="213" t="s">
        <v>185</v>
      </c>
      <c r="D27" s="213"/>
      <c r="E27" s="213"/>
      <c r="F27" s="213"/>
      <c r="G27" s="213"/>
      <c r="H27" s="213"/>
      <c r="I27" s="213"/>
      <c r="J27" s="213"/>
      <c r="K27" s="213"/>
      <c r="L27" s="213"/>
      <c r="M27" s="213"/>
      <c r="N27" s="213"/>
      <c r="O27" s="213"/>
      <c r="P27" s="213"/>
    </row>
    <row r="28" spans="1:19" ht="42" x14ac:dyDescent="0.65">
      <c r="A28" s="37"/>
      <c r="C28" s="49"/>
      <c r="D28" s="49"/>
      <c r="E28" s="49"/>
      <c r="F28" s="49"/>
      <c r="G28" s="49"/>
      <c r="H28" s="49"/>
      <c r="I28" s="49"/>
      <c r="J28" s="49"/>
      <c r="K28" s="49"/>
      <c r="L28" s="49"/>
      <c r="M28" s="49"/>
      <c r="N28" s="49"/>
      <c r="O28" s="49"/>
      <c r="P28" s="49"/>
    </row>
    <row r="29" spans="1:19" ht="50.1" customHeight="1" x14ac:dyDescent="0.7">
      <c r="A29" s="37"/>
      <c r="C29" s="186" t="s">
        <v>23</v>
      </c>
      <c r="D29" s="186"/>
      <c r="E29" s="186"/>
      <c r="F29" s="186"/>
      <c r="G29" s="186"/>
      <c r="H29" s="186"/>
      <c r="I29" s="186"/>
      <c r="J29" s="186"/>
      <c r="K29" s="186"/>
      <c r="L29" s="186"/>
      <c r="M29" s="186"/>
      <c r="N29" s="186"/>
      <c r="O29" s="186"/>
      <c r="P29" s="186"/>
      <c r="Q29" s="186"/>
    </row>
    <row r="30" spans="1:19" ht="30" customHeight="1" x14ac:dyDescent="0.7">
      <c r="A30" s="37"/>
      <c r="C30" s="45"/>
      <c r="D30" s="45"/>
      <c r="E30" s="45"/>
      <c r="F30" s="45"/>
      <c r="G30" s="45"/>
      <c r="H30" s="45"/>
      <c r="I30" s="45"/>
      <c r="J30" s="45"/>
      <c r="K30" s="45"/>
      <c r="L30" s="45"/>
      <c r="M30" s="45"/>
      <c r="N30" s="45"/>
      <c r="O30" s="45"/>
      <c r="P30" s="45"/>
      <c r="Q30" s="45"/>
    </row>
    <row r="31" spans="1:19" s="47" customFormat="1" ht="69.75" customHeight="1" x14ac:dyDescent="0.25">
      <c r="A31" s="46"/>
      <c r="C31" s="174" t="s">
        <v>24</v>
      </c>
      <c r="D31" s="174"/>
      <c r="E31" s="174"/>
      <c r="F31" s="199" t="s">
        <v>12</v>
      </c>
      <c r="G31" s="200"/>
      <c r="H31" s="200"/>
      <c r="I31" s="200"/>
      <c r="J31" s="200"/>
      <c r="K31" s="200"/>
      <c r="L31" s="201"/>
      <c r="M31" s="202" t="s">
        <v>25</v>
      </c>
      <c r="N31" s="203"/>
      <c r="O31" s="203"/>
      <c r="P31" s="203"/>
      <c r="Q31" s="203"/>
    </row>
    <row r="32" spans="1:19" ht="50.1" customHeight="1" x14ac:dyDescent="0.25">
      <c r="A32" s="37"/>
      <c r="C32" s="188" t="s">
        <v>26</v>
      </c>
      <c r="D32" s="189"/>
      <c r="E32" s="190"/>
      <c r="F32" s="191" t="s">
        <v>189</v>
      </c>
      <c r="G32" s="192"/>
      <c r="H32" s="192"/>
      <c r="I32" s="192"/>
      <c r="J32" s="192"/>
      <c r="K32" s="192"/>
      <c r="L32" s="193"/>
      <c r="M32" s="188" t="s">
        <v>190</v>
      </c>
      <c r="N32" s="189"/>
      <c r="O32" s="189"/>
      <c r="P32" s="189"/>
      <c r="Q32" s="189"/>
    </row>
    <row r="33" spans="1:26" ht="50.1" customHeight="1" x14ac:dyDescent="0.25">
      <c r="A33" s="37"/>
      <c r="C33" s="194" t="s">
        <v>27</v>
      </c>
      <c r="D33" s="195"/>
      <c r="E33" s="196"/>
      <c r="F33" s="197" t="s">
        <v>184</v>
      </c>
      <c r="G33" s="173"/>
      <c r="H33" s="173"/>
      <c r="I33" s="173"/>
      <c r="J33" s="173"/>
      <c r="K33" s="173"/>
      <c r="L33" s="198"/>
      <c r="M33" s="194" t="s">
        <v>186</v>
      </c>
      <c r="N33" s="195"/>
      <c r="O33" s="195"/>
      <c r="P33" s="195"/>
      <c r="Q33" s="195"/>
    </row>
    <row r="34" spans="1:26" ht="50.1" customHeight="1" x14ac:dyDescent="0.25">
      <c r="A34" s="37"/>
      <c r="C34" s="194" t="s">
        <v>28</v>
      </c>
      <c r="D34" s="195"/>
      <c r="E34" s="196"/>
      <c r="F34" s="197" t="s">
        <v>187</v>
      </c>
      <c r="G34" s="173"/>
      <c r="H34" s="173"/>
      <c r="I34" s="173"/>
      <c r="J34" s="173"/>
      <c r="K34" s="173"/>
      <c r="L34" s="198"/>
      <c r="M34" s="194" t="s">
        <v>188</v>
      </c>
      <c r="N34" s="195"/>
      <c r="O34" s="195"/>
      <c r="P34" s="195"/>
      <c r="Q34" s="195"/>
    </row>
    <row r="35" spans="1:26" ht="36" x14ac:dyDescent="0.25">
      <c r="A35" s="37"/>
      <c r="C35" s="41"/>
      <c r="D35" s="41"/>
      <c r="E35" s="164"/>
      <c r="F35" s="165"/>
      <c r="G35" s="165"/>
      <c r="H35" s="165"/>
      <c r="I35" s="165"/>
      <c r="J35" s="165"/>
      <c r="K35" s="165"/>
      <c r="L35" s="165"/>
      <c r="M35" s="165"/>
      <c r="N35" s="165"/>
      <c r="O35" s="165"/>
      <c r="P35" s="165"/>
      <c r="Q35" s="165"/>
    </row>
    <row r="36" spans="1:26" ht="36" customHeight="1" x14ac:dyDescent="0.25">
      <c r="A36" s="37"/>
      <c r="C36" s="41"/>
      <c r="D36" s="41"/>
      <c r="E36" s="164"/>
      <c r="F36" s="165"/>
      <c r="G36" s="165"/>
      <c r="H36" s="165"/>
      <c r="I36" s="165"/>
      <c r="J36" s="165"/>
      <c r="K36" s="165"/>
      <c r="L36" s="165"/>
      <c r="M36" s="165"/>
      <c r="N36" s="165"/>
      <c r="O36" s="165"/>
      <c r="P36" s="165"/>
      <c r="Q36" s="165"/>
    </row>
    <row r="37" spans="1:26" ht="36" x14ac:dyDescent="0.25">
      <c r="A37" s="37"/>
      <c r="C37" s="41"/>
      <c r="D37" s="41"/>
      <c r="E37" s="164"/>
      <c r="F37" s="165"/>
      <c r="G37" s="165"/>
      <c r="H37" s="165"/>
      <c r="I37" s="165"/>
      <c r="J37" s="165"/>
      <c r="K37" s="165"/>
      <c r="L37" s="165"/>
      <c r="M37" s="165"/>
      <c r="N37" s="165"/>
      <c r="O37" s="165"/>
      <c r="P37" s="165"/>
      <c r="Q37" s="165"/>
    </row>
    <row r="38" spans="1:26" ht="36" x14ac:dyDescent="0.25">
      <c r="A38" s="37"/>
      <c r="C38" s="41"/>
      <c r="D38" s="41"/>
      <c r="E38" s="187"/>
      <c r="F38" s="165"/>
      <c r="G38" s="165"/>
      <c r="H38" s="165"/>
      <c r="I38" s="165"/>
      <c r="J38" s="165"/>
      <c r="K38" s="165"/>
      <c r="L38" s="165"/>
      <c r="M38" s="165"/>
      <c r="N38" s="165"/>
      <c r="O38" s="165"/>
      <c r="P38" s="165"/>
      <c r="Q38" s="165"/>
    </row>
    <row r="39" spans="1:26" ht="36" customHeight="1" x14ac:dyDescent="0.25">
      <c r="A39" s="37"/>
      <c r="C39" s="41"/>
      <c r="D39" s="41"/>
      <c r="E39" s="164"/>
      <c r="F39" s="165"/>
      <c r="G39" s="165"/>
      <c r="H39" s="165"/>
      <c r="I39" s="165"/>
      <c r="J39" s="165"/>
      <c r="K39" s="165"/>
      <c r="L39" s="165"/>
      <c r="M39" s="165"/>
      <c r="N39" s="165"/>
      <c r="O39" s="165"/>
      <c r="P39" s="165"/>
      <c r="Q39" s="165"/>
    </row>
    <row r="40" spans="1:26" ht="36" customHeight="1" x14ac:dyDescent="0.25">
      <c r="A40" s="37"/>
      <c r="C40" s="43"/>
      <c r="D40" s="43"/>
      <c r="E40" s="183"/>
      <c r="F40" s="184"/>
      <c r="G40" s="184"/>
      <c r="H40" s="184"/>
      <c r="I40" s="184"/>
      <c r="J40" s="184"/>
      <c r="K40" s="184"/>
      <c r="L40" s="184"/>
      <c r="M40" s="184"/>
      <c r="N40" s="184"/>
      <c r="O40" s="184"/>
      <c r="P40" s="184"/>
      <c r="Q40" s="184"/>
    </row>
    <row r="41" spans="1:26" ht="36" x14ac:dyDescent="0.25">
      <c r="A41" s="37"/>
      <c r="C41" s="41"/>
      <c r="D41" s="41"/>
      <c r="E41" s="164"/>
      <c r="F41" s="165"/>
      <c r="G41" s="165"/>
      <c r="H41" s="165"/>
      <c r="I41" s="165"/>
      <c r="J41" s="165"/>
      <c r="K41" s="165"/>
      <c r="L41" s="165"/>
      <c r="M41" s="165"/>
      <c r="N41" s="165"/>
      <c r="O41" s="165"/>
      <c r="P41" s="165"/>
      <c r="Q41" s="165"/>
    </row>
    <row r="42" spans="1:26" ht="30" customHeight="1" x14ac:dyDescent="0.25">
      <c r="A42" s="37"/>
      <c r="C42" s="41"/>
      <c r="D42" s="41"/>
      <c r="E42" s="164"/>
      <c r="F42" s="165"/>
      <c r="G42" s="165"/>
      <c r="H42" s="165"/>
      <c r="I42" s="165"/>
      <c r="J42" s="165"/>
      <c r="K42" s="165"/>
      <c r="L42" s="165"/>
      <c r="M42" s="165"/>
      <c r="N42" s="165"/>
      <c r="O42" s="165"/>
      <c r="P42" s="165"/>
      <c r="Q42" s="165"/>
    </row>
    <row r="43" spans="1:26" ht="50.1" customHeight="1" x14ac:dyDescent="0.7">
      <c r="A43" s="37"/>
      <c r="C43" s="186" t="s">
        <v>29</v>
      </c>
      <c r="D43" s="186"/>
      <c r="E43" s="186"/>
      <c r="F43" s="186"/>
      <c r="G43" s="186"/>
      <c r="H43" s="186"/>
      <c r="I43" s="186"/>
      <c r="J43" s="186"/>
      <c r="K43" s="186"/>
      <c r="L43" s="186"/>
      <c r="M43" s="186"/>
      <c r="N43" s="186"/>
      <c r="O43" s="186"/>
      <c r="P43" s="186"/>
      <c r="Q43" s="186"/>
    </row>
    <row r="44" spans="1:26" ht="30" customHeight="1" x14ac:dyDescent="0.7">
      <c r="A44" s="37"/>
      <c r="C44" s="45"/>
      <c r="D44" s="45"/>
      <c r="E44" s="45"/>
      <c r="F44" s="45"/>
      <c r="G44" s="45"/>
      <c r="H44" s="45"/>
      <c r="I44" s="45"/>
      <c r="J44" s="45"/>
      <c r="K44" s="45"/>
      <c r="L44" s="45"/>
      <c r="M44" s="45"/>
      <c r="N44" s="45"/>
      <c r="O44" s="45"/>
      <c r="P44" s="45"/>
      <c r="Q44" s="50"/>
    </row>
    <row r="45" spans="1:26" s="47" customFormat="1" ht="69.75" customHeight="1" x14ac:dyDescent="0.25">
      <c r="A45" s="46"/>
      <c r="C45" s="174" t="s">
        <v>30</v>
      </c>
      <c r="D45" s="174"/>
      <c r="E45" s="174"/>
      <c r="F45" s="175" t="s">
        <v>31</v>
      </c>
      <c r="G45" s="176"/>
      <c r="H45" s="176"/>
      <c r="I45" s="176"/>
      <c r="J45" s="176"/>
      <c r="K45" s="176"/>
      <c r="L45" s="176"/>
      <c r="M45" s="176"/>
      <c r="N45" s="176"/>
      <c r="O45" s="176"/>
      <c r="P45" s="176"/>
      <c r="Q45" s="176"/>
    </row>
    <row r="46" spans="1:26" ht="409.5" customHeight="1" x14ac:dyDescent="0.25">
      <c r="A46" s="37"/>
      <c r="C46" s="177" t="s">
        <v>32</v>
      </c>
      <c r="D46" s="178"/>
      <c r="E46" s="179"/>
      <c r="F46" s="180" t="s">
        <v>183</v>
      </c>
      <c r="G46" s="181"/>
      <c r="H46" s="181"/>
      <c r="I46" s="181"/>
      <c r="J46" s="181"/>
      <c r="K46" s="181"/>
      <c r="L46" s="181"/>
      <c r="M46" s="181"/>
      <c r="N46" s="181"/>
      <c r="O46" s="181"/>
      <c r="P46" s="181"/>
      <c r="Q46" s="181"/>
    </row>
    <row r="47" spans="1:26" ht="310.5" customHeight="1" x14ac:dyDescent="0.25">
      <c r="A47" s="37"/>
      <c r="C47" s="169" t="s">
        <v>33</v>
      </c>
      <c r="D47" s="170"/>
      <c r="E47" s="171"/>
      <c r="F47" s="172" t="s">
        <v>34</v>
      </c>
      <c r="G47" s="173"/>
      <c r="H47" s="173"/>
      <c r="I47" s="173"/>
      <c r="J47" s="173"/>
      <c r="K47" s="173"/>
      <c r="L47" s="173"/>
      <c r="M47" s="173"/>
      <c r="N47" s="173"/>
      <c r="O47" s="173"/>
      <c r="P47" s="173"/>
      <c r="Q47" s="173"/>
    </row>
    <row r="48" spans="1:26" ht="177" customHeight="1" x14ac:dyDescent="0.25">
      <c r="A48" s="37"/>
      <c r="C48" s="169" t="s">
        <v>35</v>
      </c>
      <c r="D48" s="170"/>
      <c r="E48" s="171"/>
      <c r="F48" s="172" t="s">
        <v>36</v>
      </c>
      <c r="G48" s="173"/>
      <c r="H48" s="173"/>
      <c r="I48" s="173"/>
      <c r="J48" s="173"/>
      <c r="K48" s="173"/>
      <c r="L48" s="173"/>
      <c r="M48" s="173"/>
      <c r="N48" s="173"/>
      <c r="O48" s="173"/>
      <c r="P48" s="173"/>
      <c r="Q48" s="173"/>
      <c r="Z48" s="51"/>
    </row>
    <row r="49" spans="1:17" ht="209.25" customHeight="1" x14ac:dyDescent="0.25">
      <c r="A49" s="37"/>
      <c r="C49" s="169" t="s">
        <v>37</v>
      </c>
      <c r="D49" s="170"/>
      <c r="E49" s="171"/>
      <c r="F49" s="172" t="s">
        <v>38</v>
      </c>
      <c r="G49" s="173"/>
      <c r="H49" s="173"/>
      <c r="I49" s="173"/>
      <c r="J49" s="173"/>
      <c r="K49" s="173"/>
      <c r="L49" s="173"/>
      <c r="M49" s="173"/>
      <c r="N49" s="173"/>
      <c r="O49" s="173"/>
      <c r="P49" s="173"/>
      <c r="Q49" s="173"/>
    </row>
    <row r="50" spans="1:17" ht="310.5" customHeight="1" x14ac:dyDescent="0.25">
      <c r="A50" s="37"/>
      <c r="C50" s="169" t="s">
        <v>39</v>
      </c>
      <c r="D50" s="170"/>
      <c r="E50" s="171"/>
      <c r="F50" s="172" t="s">
        <v>40</v>
      </c>
      <c r="G50" s="173"/>
      <c r="H50" s="173"/>
      <c r="I50" s="173"/>
      <c r="J50" s="173"/>
      <c r="K50" s="173"/>
      <c r="L50" s="173"/>
      <c r="M50" s="173"/>
      <c r="N50" s="173"/>
      <c r="O50" s="173"/>
      <c r="P50" s="173"/>
      <c r="Q50" s="173"/>
    </row>
    <row r="51" spans="1:17" ht="183" customHeight="1" x14ac:dyDescent="0.25">
      <c r="A51" s="37"/>
      <c r="C51" s="169" t="s">
        <v>41</v>
      </c>
      <c r="D51" s="170"/>
      <c r="E51" s="171"/>
      <c r="F51" s="172" t="s">
        <v>42</v>
      </c>
      <c r="G51" s="173"/>
      <c r="H51" s="173"/>
      <c r="I51" s="173"/>
      <c r="J51" s="173"/>
      <c r="K51" s="173"/>
      <c r="L51" s="173"/>
      <c r="M51" s="173"/>
      <c r="N51" s="173"/>
      <c r="O51" s="173"/>
      <c r="P51" s="173"/>
      <c r="Q51" s="173"/>
    </row>
    <row r="52" spans="1:17" ht="90.75" customHeight="1" x14ac:dyDescent="0.25">
      <c r="A52" s="37"/>
      <c r="C52" s="169" t="s">
        <v>43</v>
      </c>
      <c r="D52" s="170"/>
      <c r="E52" s="171"/>
      <c r="F52" s="172" t="s">
        <v>44</v>
      </c>
      <c r="G52" s="173"/>
      <c r="H52" s="173"/>
      <c r="I52" s="173"/>
      <c r="J52" s="173"/>
      <c r="K52" s="173"/>
      <c r="L52" s="173"/>
      <c r="M52" s="173"/>
      <c r="N52" s="173"/>
      <c r="O52" s="173"/>
      <c r="P52" s="173"/>
      <c r="Q52" s="173"/>
    </row>
    <row r="53" spans="1:17" ht="201.75" customHeight="1" x14ac:dyDescent="0.25">
      <c r="A53" s="37"/>
      <c r="C53" s="169" t="s">
        <v>45</v>
      </c>
      <c r="D53" s="170"/>
      <c r="E53" s="171"/>
      <c r="F53" s="172" t="s">
        <v>46</v>
      </c>
      <c r="G53" s="173"/>
      <c r="H53" s="173"/>
      <c r="I53" s="173"/>
      <c r="J53" s="173"/>
      <c r="K53" s="173"/>
      <c r="L53" s="173"/>
      <c r="M53" s="173"/>
      <c r="N53" s="173"/>
      <c r="O53" s="173"/>
      <c r="P53" s="173"/>
      <c r="Q53" s="173"/>
    </row>
    <row r="54" spans="1:17" ht="36" customHeight="1" x14ac:dyDescent="0.25">
      <c r="A54" s="37"/>
      <c r="C54" s="41"/>
      <c r="D54" s="41"/>
      <c r="E54" s="164"/>
      <c r="F54" s="165"/>
      <c r="G54" s="165"/>
      <c r="H54" s="165"/>
      <c r="I54" s="165"/>
      <c r="J54" s="165"/>
      <c r="K54" s="165"/>
      <c r="L54" s="165"/>
      <c r="M54" s="165"/>
      <c r="N54" s="165"/>
      <c r="O54" s="165"/>
      <c r="P54" s="165"/>
      <c r="Q54" s="165"/>
    </row>
    <row r="55" spans="1:17" ht="36" customHeight="1" x14ac:dyDescent="0.25">
      <c r="A55" s="37"/>
      <c r="C55" s="41"/>
      <c r="D55" s="41"/>
      <c r="E55" s="164"/>
      <c r="F55" s="165"/>
      <c r="G55" s="165"/>
      <c r="H55" s="165"/>
      <c r="I55" s="165"/>
      <c r="J55" s="165"/>
      <c r="K55" s="165"/>
      <c r="L55" s="165"/>
      <c r="M55" s="165"/>
      <c r="N55" s="165"/>
      <c r="O55" s="165"/>
      <c r="P55" s="165"/>
      <c r="Q55" s="165"/>
    </row>
    <row r="56" spans="1:17" ht="41.25" customHeight="1" x14ac:dyDescent="0.25">
      <c r="A56" s="37"/>
      <c r="C56" s="185"/>
      <c r="D56" s="185"/>
      <c r="E56" s="185"/>
      <c r="F56" s="185"/>
      <c r="G56" s="185"/>
      <c r="H56" s="185"/>
      <c r="I56" s="185"/>
      <c r="J56" s="185"/>
      <c r="K56" s="185"/>
      <c r="L56" s="185"/>
      <c r="M56" s="185"/>
      <c r="N56" s="185"/>
      <c r="O56" s="185"/>
      <c r="P56" s="185"/>
      <c r="Q56" s="185"/>
    </row>
    <row r="57" spans="1:17" ht="36" x14ac:dyDescent="0.25">
      <c r="A57" s="37"/>
      <c r="C57" s="41"/>
      <c r="D57" s="41"/>
      <c r="E57" s="164"/>
      <c r="F57" s="165"/>
      <c r="G57" s="165"/>
      <c r="H57" s="165"/>
      <c r="I57" s="165"/>
      <c r="J57" s="165"/>
      <c r="K57" s="165"/>
      <c r="L57" s="165"/>
      <c r="M57" s="165"/>
      <c r="N57" s="165"/>
      <c r="O57" s="165"/>
      <c r="P57" s="165"/>
      <c r="Q57" s="165"/>
    </row>
    <row r="58" spans="1:17" ht="36" x14ac:dyDescent="0.25">
      <c r="A58" s="37"/>
      <c r="C58" s="41"/>
      <c r="D58" s="41"/>
      <c r="E58" s="164"/>
      <c r="F58" s="165"/>
      <c r="G58" s="165"/>
      <c r="H58" s="165"/>
      <c r="I58" s="165"/>
      <c r="J58" s="165"/>
      <c r="K58" s="165"/>
      <c r="L58" s="165"/>
      <c r="M58" s="165"/>
      <c r="N58" s="165"/>
      <c r="O58" s="165"/>
      <c r="P58" s="165"/>
      <c r="Q58" s="165"/>
    </row>
    <row r="59" spans="1:17" ht="36.75" customHeight="1" x14ac:dyDescent="0.25">
      <c r="A59" s="37"/>
      <c r="C59" s="43"/>
      <c r="D59" s="43"/>
      <c r="E59" s="183"/>
      <c r="F59" s="184"/>
      <c r="G59" s="184"/>
      <c r="H59" s="184"/>
      <c r="I59" s="184"/>
      <c r="J59" s="184"/>
      <c r="K59" s="184"/>
      <c r="L59" s="184"/>
      <c r="M59" s="184"/>
      <c r="N59" s="184"/>
      <c r="O59" s="184"/>
      <c r="P59" s="184"/>
      <c r="Q59" s="184"/>
    </row>
    <row r="60" spans="1:17" ht="36" x14ac:dyDescent="0.25">
      <c r="A60" s="37"/>
      <c r="C60" s="41"/>
      <c r="D60" s="41"/>
      <c r="E60" s="164"/>
      <c r="F60" s="165"/>
      <c r="G60" s="165"/>
      <c r="H60" s="165"/>
      <c r="I60" s="165"/>
      <c r="J60" s="165"/>
      <c r="K60" s="165"/>
      <c r="L60" s="165"/>
      <c r="M60" s="165"/>
      <c r="N60" s="165"/>
      <c r="O60" s="165"/>
      <c r="P60" s="165"/>
      <c r="Q60" s="165"/>
    </row>
    <row r="61" spans="1:17" ht="39" customHeight="1" x14ac:dyDescent="0.25">
      <c r="A61" s="37"/>
      <c r="C61" s="41"/>
      <c r="D61" s="41"/>
      <c r="E61" s="164"/>
      <c r="F61" s="165"/>
      <c r="G61" s="165"/>
      <c r="H61" s="165"/>
      <c r="I61" s="165"/>
      <c r="J61" s="165"/>
      <c r="K61" s="165"/>
      <c r="L61" s="165"/>
      <c r="M61" s="165"/>
      <c r="N61" s="165"/>
      <c r="O61" s="165"/>
      <c r="P61" s="165"/>
      <c r="Q61" s="165"/>
    </row>
    <row r="62" spans="1:17" ht="35.25" customHeight="1" x14ac:dyDescent="0.25">
      <c r="A62" s="37"/>
      <c r="C62" s="41"/>
      <c r="D62" s="41"/>
      <c r="E62" s="164"/>
      <c r="F62" s="165"/>
      <c r="G62" s="165"/>
      <c r="H62" s="165"/>
      <c r="I62" s="165"/>
      <c r="J62" s="165"/>
      <c r="K62" s="165"/>
      <c r="L62" s="165"/>
      <c r="M62" s="165"/>
      <c r="N62" s="165"/>
      <c r="O62" s="165"/>
      <c r="P62" s="165"/>
      <c r="Q62" s="165"/>
    </row>
    <row r="63" spans="1:17" ht="35.25" customHeight="1" x14ac:dyDescent="0.25">
      <c r="A63" s="37"/>
      <c r="C63" s="41"/>
      <c r="D63" s="41"/>
      <c r="E63" s="164"/>
      <c r="F63" s="165"/>
      <c r="G63" s="165"/>
      <c r="H63" s="165"/>
      <c r="I63" s="165"/>
      <c r="J63" s="165"/>
      <c r="K63" s="165"/>
      <c r="L63" s="165"/>
      <c r="M63" s="165"/>
      <c r="N63" s="165"/>
      <c r="O63" s="165"/>
      <c r="P63" s="165"/>
      <c r="Q63" s="165"/>
    </row>
    <row r="64" spans="1:17" ht="35.25" customHeight="1" x14ac:dyDescent="0.25">
      <c r="A64" s="37"/>
      <c r="C64" s="53"/>
      <c r="D64" s="41"/>
      <c r="E64" s="164"/>
      <c r="F64" s="165"/>
      <c r="G64" s="165"/>
      <c r="H64" s="165"/>
      <c r="I64" s="165"/>
      <c r="J64" s="165"/>
      <c r="K64" s="165"/>
      <c r="L64" s="165"/>
      <c r="M64" s="165"/>
      <c r="N64" s="165"/>
      <c r="O64" s="165"/>
      <c r="P64" s="165"/>
      <c r="Q64" s="165"/>
    </row>
    <row r="65" spans="1:17" ht="35.25" customHeight="1" x14ac:dyDescent="0.25">
      <c r="A65" s="37"/>
      <c r="C65" s="41"/>
      <c r="D65" s="41"/>
      <c r="E65" s="166"/>
      <c r="F65" s="167"/>
      <c r="G65" s="167"/>
      <c r="H65" s="167"/>
      <c r="I65" s="167"/>
      <c r="J65" s="167"/>
      <c r="K65" s="167"/>
      <c r="L65" s="167"/>
      <c r="M65" s="167"/>
      <c r="N65" s="167"/>
      <c r="O65" s="167"/>
      <c r="P65" s="167"/>
      <c r="Q65" s="167"/>
    </row>
    <row r="66" spans="1:17" x14ac:dyDescent="0.25">
      <c r="A66" s="37"/>
      <c r="C66" s="38"/>
      <c r="F66" s="38"/>
      <c r="G66" s="38"/>
      <c r="I66" s="38"/>
      <c r="K66" s="38"/>
      <c r="P66" s="38"/>
    </row>
    <row r="67" spans="1:17" ht="37.5" customHeight="1" x14ac:dyDescent="0.25">
      <c r="A67" s="37"/>
      <c r="C67" s="38"/>
      <c r="F67" s="38"/>
      <c r="G67" s="38"/>
      <c r="I67" s="38"/>
      <c r="K67" s="38"/>
      <c r="P67" s="38"/>
    </row>
    <row r="68" spans="1:17" ht="39" customHeight="1" x14ac:dyDescent="0.25">
      <c r="A68" s="37"/>
      <c r="C68" s="38"/>
      <c r="F68" s="38"/>
      <c r="G68" s="38"/>
      <c r="I68" s="38"/>
      <c r="K68" s="38"/>
      <c r="P68" s="38"/>
    </row>
    <row r="69" spans="1:17" ht="36" x14ac:dyDescent="0.25">
      <c r="A69" s="37"/>
      <c r="C69" s="41"/>
      <c r="D69" s="41"/>
      <c r="E69" s="52"/>
      <c r="F69" s="52"/>
      <c r="G69" s="52"/>
      <c r="H69" s="52"/>
      <c r="I69" s="52"/>
      <c r="J69" s="52"/>
      <c r="K69" s="52"/>
      <c r="L69" s="52"/>
      <c r="M69" s="52"/>
      <c r="N69" s="52"/>
      <c r="O69" s="52"/>
      <c r="P69" s="52"/>
      <c r="Q69" s="52"/>
    </row>
    <row r="70" spans="1:17" ht="15" customHeight="1" x14ac:dyDescent="0.25">
      <c r="A70" s="37"/>
      <c r="C70" s="168"/>
      <c r="D70" s="168"/>
      <c r="E70" s="168"/>
      <c r="F70" s="168"/>
      <c r="G70" s="168"/>
      <c r="H70" s="168"/>
      <c r="I70" s="168"/>
      <c r="J70" s="168"/>
      <c r="K70" s="168"/>
      <c r="L70" s="168"/>
      <c r="M70" s="168"/>
      <c r="N70" s="168"/>
      <c r="O70" s="168"/>
      <c r="P70" s="168"/>
      <c r="Q70" s="168"/>
    </row>
    <row r="71" spans="1:17" ht="15" customHeight="1" x14ac:dyDescent="0.25">
      <c r="A71" s="37"/>
      <c r="C71" s="168"/>
      <c r="D71" s="168"/>
      <c r="E71" s="168"/>
      <c r="F71" s="168"/>
      <c r="G71" s="168"/>
      <c r="H71" s="168"/>
      <c r="I71" s="168"/>
      <c r="J71" s="168"/>
      <c r="K71" s="168"/>
      <c r="L71" s="168"/>
      <c r="M71" s="168"/>
      <c r="N71" s="168"/>
      <c r="O71" s="168"/>
      <c r="P71" s="168"/>
      <c r="Q71" s="168"/>
    </row>
    <row r="72" spans="1:17" ht="15" customHeight="1" x14ac:dyDescent="0.25">
      <c r="A72" s="37"/>
      <c r="C72" s="168"/>
      <c r="D72" s="168"/>
      <c r="E72" s="168"/>
      <c r="F72" s="168"/>
      <c r="G72" s="168"/>
      <c r="H72" s="168"/>
      <c r="I72" s="168"/>
      <c r="J72" s="168"/>
      <c r="K72" s="168"/>
      <c r="L72" s="168"/>
      <c r="M72" s="168"/>
      <c r="N72" s="168"/>
      <c r="O72" s="168"/>
      <c r="P72" s="168"/>
      <c r="Q72" s="168"/>
    </row>
    <row r="73" spans="1:17" ht="15" customHeight="1" x14ac:dyDescent="0.25">
      <c r="A73" s="37"/>
      <c r="C73" s="168"/>
      <c r="D73" s="168"/>
      <c r="E73" s="168"/>
      <c r="F73" s="168"/>
      <c r="G73" s="168"/>
      <c r="H73" s="168"/>
      <c r="I73" s="168"/>
      <c r="J73" s="168"/>
      <c r="K73" s="168"/>
      <c r="L73" s="168"/>
      <c r="M73" s="168"/>
      <c r="N73" s="168"/>
      <c r="O73" s="168"/>
      <c r="P73" s="168"/>
      <c r="Q73" s="168"/>
    </row>
    <row r="74" spans="1:17" ht="15" customHeight="1" x14ac:dyDescent="0.25">
      <c r="A74" s="37"/>
      <c r="C74" s="168"/>
      <c r="D74" s="168"/>
      <c r="E74" s="168"/>
      <c r="F74" s="168"/>
      <c r="G74" s="168"/>
      <c r="H74" s="168"/>
      <c r="I74" s="168"/>
      <c r="J74" s="168"/>
      <c r="K74" s="168"/>
      <c r="L74" s="168"/>
      <c r="M74" s="168"/>
      <c r="N74" s="168"/>
      <c r="O74" s="168"/>
      <c r="P74" s="168"/>
      <c r="Q74" s="168"/>
    </row>
    <row r="75" spans="1:17" ht="15" customHeight="1" x14ac:dyDescent="0.25">
      <c r="A75" s="37"/>
      <c r="C75" s="168"/>
      <c r="D75" s="168"/>
      <c r="E75" s="168"/>
      <c r="F75" s="168"/>
      <c r="G75" s="168"/>
      <c r="H75" s="168"/>
      <c r="I75" s="168"/>
      <c r="J75" s="168"/>
      <c r="K75" s="168"/>
      <c r="L75" s="168"/>
      <c r="M75" s="168"/>
      <c r="N75" s="168"/>
      <c r="O75" s="168"/>
      <c r="P75" s="168"/>
      <c r="Q75" s="168"/>
    </row>
    <row r="76" spans="1:17" ht="15" customHeight="1" x14ac:dyDescent="0.25">
      <c r="A76" s="37"/>
      <c r="C76" s="168"/>
      <c r="D76" s="168"/>
      <c r="E76" s="168"/>
      <c r="F76" s="168"/>
      <c r="G76" s="168"/>
      <c r="H76" s="168"/>
      <c r="I76" s="168"/>
      <c r="J76" s="168"/>
      <c r="K76" s="168"/>
      <c r="L76" s="168"/>
      <c r="M76" s="168"/>
      <c r="N76" s="168"/>
      <c r="O76" s="168"/>
      <c r="P76" s="168"/>
      <c r="Q76" s="168"/>
    </row>
    <row r="77" spans="1:17" ht="15" x14ac:dyDescent="0.25">
      <c r="A77" s="37"/>
      <c r="C77" s="182"/>
      <c r="D77" s="182"/>
      <c r="E77" s="182"/>
      <c r="F77" s="182"/>
      <c r="G77" s="182"/>
      <c r="H77" s="182"/>
      <c r="I77" s="182"/>
      <c r="J77" s="182"/>
      <c r="K77" s="182"/>
      <c r="L77" s="182"/>
      <c r="M77" s="182"/>
      <c r="N77" s="182"/>
      <c r="O77" s="182"/>
      <c r="P77" s="182"/>
      <c r="Q77" s="182"/>
    </row>
    <row r="78" spans="1:17" ht="15" x14ac:dyDescent="0.25">
      <c r="A78" s="37"/>
      <c r="C78" s="182"/>
      <c r="D78" s="182"/>
      <c r="E78" s="182"/>
      <c r="F78" s="182"/>
      <c r="G78" s="182"/>
      <c r="H78" s="182"/>
      <c r="I78" s="182"/>
      <c r="J78" s="182"/>
      <c r="K78" s="182"/>
      <c r="L78" s="182"/>
      <c r="M78" s="182"/>
      <c r="N78" s="182"/>
      <c r="O78" s="182"/>
      <c r="P78" s="182"/>
      <c r="Q78" s="182"/>
    </row>
    <row r="79" spans="1:17" ht="15" x14ac:dyDescent="0.25">
      <c r="A79" s="37"/>
      <c r="C79" s="182"/>
      <c r="D79" s="182"/>
      <c r="E79" s="182"/>
      <c r="F79" s="182"/>
      <c r="G79" s="182"/>
      <c r="H79" s="182"/>
      <c r="I79" s="182"/>
      <c r="J79" s="182"/>
      <c r="K79" s="182"/>
      <c r="L79" s="182"/>
      <c r="M79" s="182"/>
      <c r="N79" s="182"/>
      <c r="O79" s="182"/>
      <c r="P79" s="182"/>
      <c r="Q79" s="182"/>
    </row>
    <row r="80" spans="1:17" x14ac:dyDescent="0.25">
      <c r="A80" s="37"/>
      <c r="C80" s="38"/>
      <c r="F80" s="38"/>
      <c r="G80" s="38"/>
      <c r="I80" s="38"/>
      <c r="K80" s="38"/>
      <c r="P80" s="38"/>
    </row>
    <row r="81" spans="3:16" x14ac:dyDescent="0.25">
      <c r="C81" s="38"/>
      <c r="F81" s="38"/>
      <c r="G81" s="38"/>
      <c r="I81" s="38"/>
      <c r="K81" s="38"/>
      <c r="P81" s="38"/>
    </row>
    <row r="82" spans="3:16" x14ac:dyDescent="0.25">
      <c r="C82" s="38"/>
      <c r="F82" s="38"/>
      <c r="G82" s="38"/>
      <c r="I82" s="38"/>
      <c r="K82" s="38"/>
      <c r="P82" s="38"/>
    </row>
    <row r="83" spans="3:16" x14ac:dyDescent="0.25">
      <c r="C83" s="38"/>
      <c r="F83" s="38"/>
      <c r="G83" s="38"/>
      <c r="I83" s="38"/>
      <c r="K83" s="38"/>
      <c r="P83" s="38"/>
    </row>
    <row r="84" spans="3:16" x14ac:dyDescent="0.25">
      <c r="C84" s="38"/>
      <c r="F84" s="38"/>
      <c r="G84" s="38"/>
      <c r="I84" s="38"/>
      <c r="K84" s="38"/>
      <c r="P84" s="38"/>
    </row>
    <row r="85" spans="3:16" x14ac:dyDescent="0.25">
      <c r="C85" s="38"/>
      <c r="F85" s="38"/>
      <c r="G85" s="38"/>
      <c r="I85" s="38"/>
      <c r="K85" s="38"/>
      <c r="P85" s="38"/>
    </row>
    <row r="86" spans="3:16" x14ac:dyDescent="0.25">
      <c r="C86" s="38"/>
      <c r="F86" s="38"/>
      <c r="G86" s="38"/>
      <c r="I86" s="38"/>
      <c r="K86" s="38"/>
      <c r="P86" s="38"/>
    </row>
    <row r="87" spans="3:16" x14ac:dyDescent="0.25">
      <c r="C87" s="38"/>
      <c r="F87" s="38"/>
      <c r="G87" s="38"/>
      <c r="I87" s="38"/>
      <c r="K87" s="38"/>
      <c r="P87" s="38"/>
    </row>
    <row r="88" spans="3:16" x14ac:dyDescent="0.25">
      <c r="C88" s="38"/>
      <c r="F88" s="38"/>
      <c r="G88" s="38"/>
      <c r="I88" s="38"/>
      <c r="K88" s="38"/>
      <c r="P88" s="38"/>
    </row>
    <row r="89" spans="3:16" x14ac:dyDescent="0.25">
      <c r="C89" s="38"/>
      <c r="F89" s="38"/>
      <c r="G89" s="38"/>
      <c r="I89" s="38"/>
      <c r="K89" s="38"/>
      <c r="P89" s="38"/>
    </row>
  </sheetData>
  <mergeCells count="170">
    <mergeCell ref="R20:S20"/>
    <mergeCell ref="R21:S21"/>
    <mergeCell ref="R23:S23"/>
    <mergeCell ref="R22:S22"/>
    <mergeCell ref="C12:E12"/>
    <mergeCell ref="F12:H12"/>
    <mergeCell ref="I12:J12"/>
    <mergeCell ref="K12:L12"/>
    <mergeCell ref="M12:O12"/>
    <mergeCell ref="P12:Q12"/>
    <mergeCell ref="R12:S12"/>
    <mergeCell ref="C18:Q18"/>
    <mergeCell ref="C20:E20"/>
    <mergeCell ref="F20:H20"/>
    <mergeCell ref="I20:J20"/>
    <mergeCell ref="K20:L20"/>
    <mergeCell ref="M20:O20"/>
    <mergeCell ref="P20:Q20"/>
    <mergeCell ref="P13:Q13"/>
    <mergeCell ref="R13:S13"/>
    <mergeCell ref="C14:E14"/>
    <mergeCell ref="F14:H14"/>
    <mergeCell ref="I14:J14"/>
    <mergeCell ref="K14:L14"/>
    <mergeCell ref="C3:Q3"/>
    <mergeCell ref="C5:E5"/>
    <mergeCell ref="F5:H5"/>
    <mergeCell ref="I5:J5"/>
    <mergeCell ref="K5:L5"/>
    <mergeCell ref="M5:O5"/>
    <mergeCell ref="P5:Q5"/>
    <mergeCell ref="C11:E11"/>
    <mergeCell ref="F11:H11"/>
    <mergeCell ref="I11:J11"/>
    <mergeCell ref="K11:L11"/>
    <mergeCell ref="M11:O11"/>
    <mergeCell ref="P11:Q11"/>
    <mergeCell ref="F6:H6"/>
    <mergeCell ref="C10:E10"/>
    <mergeCell ref="F10:H10"/>
    <mergeCell ref="M6:O6"/>
    <mergeCell ref="P6:Q6"/>
    <mergeCell ref="I6:J6"/>
    <mergeCell ref="K6:L6"/>
    <mergeCell ref="I10:J10"/>
    <mergeCell ref="K10:L10"/>
    <mergeCell ref="M10:O10"/>
    <mergeCell ref="P10:Q10"/>
    <mergeCell ref="C29:Q29"/>
    <mergeCell ref="C31:E31"/>
    <mergeCell ref="F31:L31"/>
    <mergeCell ref="M31:Q31"/>
    <mergeCell ref="C21:E21"/>
    <mergeCell ref="F21:H21"/>
    <mergeCell ref="I21:J21"/>
    <mergeCell ref="M21:O21"/>
    <mergeCell ref="C25:Q25"/>
    <mergeCell ref="C27:P27"/>
    <mergeCell ref="K21:L21"/>
    <mergeCell ref="P21:Q21"/>
    <mergeCell ref="C22:E22"/>
    <mergeCell ref="F22:H22"/>
    <mergeCell ref="I22:J22"/>
    <mergeCell ref="K22:L22"/>
    <mergeCell ref="M22:O22"/>
    <mergeCell ref="P22:Q22"/>
    <mergeCell ref="C23:E23"/>
    <mergeCell ref="F23:H23"/>
    <mergeCell ref="I23:J23"/>
    <mergeCell ref="K23:L23"/>
    <mergeCell ref="M23:O23"/>
    <mergeCell ref="P23:Q23"/>
    <mergeCell ref="E41:Q41"/>
    <mergeCell ref="E42:Q42"/>
    <mergeCell ref="C43:Q43"/>
    <mergeCell ref="E38:Q38"/>
    <mergeCell ref="E39:Q39"/>
    <mergeCell ref="E40:Q40"/>
    <mergeCell ref="C32:E32"/>
    <mergeCell ref="F32:L32"/>
    <mergeCell ref="C33:E33"/>
    <mergeCell ref="F33:L33"/>
    <mergeCell ref="M32:Q32"/>
    <mergeCell ref="M33:Q33"/>
    <mergeCell ref="C34:E34"/>
    <mergeCell ref="F34:L34"/>
    <mergeCell ref="M34:Q34"/>
    <mergeCell ref="C45:E45"/>
    <mergeCell ref="F45:Q45"/>
    <mergeCell ref="C46:E46"/>
    <mergeCell ref="F46:Q46"/>
    <mergeCell ref="E35:Q35"/>
    <mergeCell ref="E36:Q36"/>
    <mergeCell ref="E37:Q37"/>
    <mergeCell ref="C77:Q79"/>
    <mergeCell ref="E58:Q58"/>
    <mergeCell ref="E59:Q59"/>
    <mergeCell ref="E60:Q60"/>
    <mergeCell ref="E61:Q61"/>
    <mergeCell ref="E62:Q62"/>
    <mergeCell ref="E63:Q63"/>
    <mergeCell ref="C56:Q56"/>
    <mergeCell ref="E57:Q57"/>
    <mergeCell ref="C52:E52"/>
    <mergeCell ref="F52:Q52"/>
    <mergeCell ref="C47:E47"/>
    <mergeCell ref="F47:Q47"/>
    <mergeCell ref="C48:E48"/>
    <mergeCell ref="F48:Q48"/>
    <mergeCell ref="C49:E49"/>
    <mergeCell ref="F49:Q49"/>
    <mergeCell ref="E64:Q64"/>
    <mergeCell ref="E65:Q65"/>
    <mergeCell ref="C70:Q76"/>
    <mergeCell ref="C53:E53"/>
    <mergeCell ref="F53:Q53"/>
    <mergeCell ref="E54:Q54"/>
    <mergeCell ref="E55:Q55"/>
    <mergeCell ref="C50:E50"/>
    <mergeCell ref="F50:Q50"/>
    <mergeCell ref="C51:E51"/>
    <mergeCell ref="F51:Q51"/>
    <mergeCell ref="C13:E13"/>
    <mergeCell ref="F13:H13"/>
    <mergeCell ref="I13:J13"/>
    <mergeCell ref="K13:L13"/>
    <mergeCell ref="M13:O13"/>
    <mergeCell ref="C8:E8"/>
    <mergeCell ref="F8:H8"/>
    <mergeCell ref="I8:J8"/>
    <mergeCell ref="K8:L8"/>
    <mergeCell ref="M8:O8"/>
    <mergeCell ref="C9:E9"/>
    <mergeCell ref="F9:H9"/>
    <mergeCell ref="I9:J9"/>
    <mergeCell ref="K9:L9"/>
    <mergeCell ref="M9:O9"/>
    <mergeCell ref="P9:Q9"/>
    <mergeCell ref="C7:E7"/>
    <mergeCell ref="F7:H7"/>
    <mergeCell ref="I7:J7"/>
    <mergeCell ref="K7:L7"/>
    <mergeCell ref="M7:O7"/>
    <mergeCell ref="P7:Q7"/>
    <mergeCell ref="R5:S5"/>
    <mergeCell ref="R11:S11"/>
    <mergeCell ref="R6:S6"/>
    <mergeCell ref="R10:S10"/>
    <mergeCell ref="R9:S9"/>
    <mergeCell ref="R7:S7"/>
    <mergeCell ref="R8:S8"/>
    <mergeCell ref="P8:Q8"/>
    <mergeCell ref="C6:E6"/>
    <mergeCell ref="C16:E16"/>
    <mergeCell ref="F16:H16"/>
    <mergeCell ref="I16:J16"/>
    <mergeCell ref="K16:L16"/>
    <mergeCell ref="M16:O16"/>
    <mergeCell ref="P16:Q16"/>
    <mergeCell ref="R16:S16"/>
    <mergeCell ref="M14:O14"/>
    <mergeCell ref="P14:Q14"/>
    <mergeCell ref="R14:S14"/>
    <mergeCell ref="C15:E15"/>
    <mergeCell ref="F15:H15"/>
    <mergeCell ref="I15:J15"/>
    <mergeCell ref="K15:L15"/>
    <mergeCell ref="M15:O15"/>
    <mergeCell ref="P15:Q15"/>
    <mergeCell ref="R15:S15"/>
  </mergeCells>
  <pageMargins left="0.511811024" right="0.511811024" top="0.78740157499999996" bottom="0.78740157499999996" header="0.31496062000000002" footer="0.31496062000000002"/>
  <pageSetup paperSize="9"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40EBB-F0C5-4BD3-AC24-8DBC081759FC}">
  <dimension ref="A1:Q90"/>
  <sheetViews>
    <sheetView showGridLines="0" tabSelected="1" topLeftCell="A74" zoomScale="40" zoomScaleNormal="40" workbookViewId="0">
      <selection activeCell="K52" sqref="K52"/>
    </sheetView>
  </sheetViews>
  <sheetFormatPr defaultRowHeight="15.75" x14ac:dyDescent="0.25"/>
  <cols>
    <col min="1" max="1" width="6.7109375" customWidth="1"/>
    <col min="2" max="2" width="7.5703125" customWidth="1"/>
    <col min="3" max="3" width="17" style="55" customWidth="1"/>
    <col min="4" max="4" width="17.140625" customWidth="1"/>
    <col min="5" max="5" width="8.5703125" customWidth="1"/>
    <col min="6" max="6" width="17" customWidth="1"/>
    <col min="7" max="7" width="52.85546875" customWidth="1"/>
    <col min="8" max="8" width="16.5703125" style="55" customWidth="1"/>
    <col min="9" max="9" width="7.42578125" customWidth="1"/>
    <col min="10" max="10" width="16.5703125" style="55" customWidth="1"/>
    <col min="11" max="11" width="89.42578125" customWidth="1"/>
    <col min="12" max="12" width="16.5703125" style="55" customWidth="1"/>
    <col min="13" max="13" width="19.5703125" customWidth="1"/>
    <col min="14" max="14" width="16.5703125" style="55" customWidth="1"/>
    <col min="15" max="15" width="17.140625" customWidth="1"/>
    <col min="16" max="16" width="8.7109375" customWidth="1"/>
    <col min="17" max="17" width="8.5703125" customWidth="1"/>
    <col min="18" max="18" width="17" customWidth="1"/>
    <col min="19" max="19" width="36" customWidth="1"/>
    <col min="20" max="20" width="16.5703125" customWidth="1"/>
    <col min="21" max="21" width="7.42578125" customWidth="1"/>
    <col min="22" max="22" width="16.5703125" customWidth="1"/>
    <col min="23" max="23" width="36" customWidth="1"/>
    <col min="24" max="24" width="16.5703125" customWidth="1"/>
    <col min="25" max="25" width="7.42578125" customWidth="1"/>
    <col min="26" max="26" width="16.5703125" customWidth="1"/>
    <col min="27" max="27" width="36" customWidth="1"/>
  </cols>
  <sheetData>
    <row r="1" spans="1:16" x14ac:dyDescent="0.25">
      <c r="A1" s="37"/>
      <c r="B1" s="56"/>
      <c r="C1" s="57"/>
      <c r="D1" s="56"/>
      <c r="E1" s="56"/>
      <c r="F1" s="56"/>
      <c r="G1" s="56"/>
      <c r="H1" s="57"/>
      <c r="I1" s="56"/>
      <c r="J1" s="57"/>
      <c r="K1" s="56"/>
      <c r="L1" s="57"/>
      <c r="M1" s="56"/>
      <c r="N1" s="57"/>
      <c r="O1" s="56"/>
      <c r="P1" s="56"/>
    </row>
    <row r="2" spans="1:16" ht="68.25" customHeight="1" x14ac:dyDescent="0.25">
      <c r="A2" s="37"/>
      <c r="B2" s="56"/>
      <c r="C2" s="57"/>
      <c r="D2" s="56"/>
      <c r="E2" s="56"/>
      <c r="F2" s="56"/>
      <c r="G2" s="56"/>
      <c r="H2" s="57"/>
      <c r="I2" s="56"/>
      <c r="J2" s="57"/>
      <c r="K2" s="56"/>
      <c r="L2" s="57"/>
      <c r="M2" s="56"/>
      <c r="N2" s="57"/>
      <c r="O2" s="56"/>
      <c r="P2" s="56"/>
    </row>
    <row r="3" spans="1:16" ht="72" x14ac:dyDescent="1.05">
      <c r="A3" s="37"/>
      <c r="B3" s="56"/>
      <c r="C3" s="131" t="s">
        <v>217</v>
      </c>
      <c r="D3" s="131"/>
      <c r="E3" s="131"/>
      <c r="F3" s="131"/>
      <c r="G3" s="131"/>
      <c r="H3" s="131"/>
      <c r="I3" s="131"/>
      <c r="J3" s="131"/>
      <c r="K3" s="131"/>
      <c r="L3" s="131"/>
      <c r="M3" s="131"/>
      <c r="N3" s="131"/>
      <c r="O3" s="131"/>
      <c r="P3" s="56"/>
    </row>
    <row r="4" spans="1:16" ht="15" customHeight="1" x14ac:dyDescent="0.25">
      <c r="A4" s="37"/>
      <c r="B4" s="56"/>
      <c r="C4" s="57"/>
      <c r="D4" s="56"/>
      <c r="E4" s="56"/>
      <c r="F4" s="56"/>
      <c r="G4" s="56"/>
      <c r="H4" s="57"/>
      <c r="I4" s="56"/>
      <c r="J4" s="57"/>
      <c r="K4" s="56"/>
      <c r="L4" s="57"/>
      <c r="M4" s="56"/>
      <c r="N4" s="57"/>
      <c r="O4" s="56"/>
      <c r="P4" s="56"/>
    </row>
    <row r="5" spans="1:16" ht="56.25" customHeight="1" x14ac:dyDescent="0.25">
      <c r="A5" s="37"/>
      <c r="B5" s="56"/>
      <c r="C5" s="132" t="s">
        <v>223</v>
      </c>
      <c r="D5" s="132"/>
      <c r="E5" s="132"/>
      <c r="F5" s="132"/>
      <c r="G5" s="132"/>
      <c r="H5" s="132"/>
      <c r="I5" s="132"/>
      <c r="J5" s="132"/>
      <c r="K5" s="132"/>
      <c r="L5" s="132"/>
      <c r="M5" s="132"/>
      <c r="N5" s="132"/>
      <c r="O5" s="132"/>
      <c r="P5" s="56"/>
    </row>
    <row r="6" spans="1:16" ht="15" customHeight="1" x14ac:dyDescent="0.25">
      <c r="A6" s="37"/>
      <c r="B6" s="56"/>
      <c r="C6" s="57"/>
      <c r="D6" s="56"/>
      <c r="E6" s="56"/>
      <c r="F6" s="56"/>
      <c r="G6" s="56"/>
      <c r="H6" s="57"/>
      <c r="I6" s="56"/>
      <c r="J6" s="57"/>
      <c r="K6" s="56"/>
      <c r="L6" s="57"/>
      <c r="M6" s="56"/>
      <c r="N6" s="57"/>
      <c r="O6" s="56"/>
      <c r="P6" s="56"/>
    </row>
    <row r="7" spans="1:16" ht="56.25" customHeight="1" x14ac:dyDescent="0.25">
      <c r="A7" s="37"/>
      <c r="B7" s="56"/>
      <c r="C7" s="132" t="s">
        <v>218</v>
      </c>
      <c r="D7" s="132"/>
      <c r="E7" s="132"/>
      <c r="F7" s="132"/>
      <c r="G7" s="132"/>
      <c r="H7" s="132"/>
      <c r="I7" s="132"/>
      <c r="J7" s="132"/>
      <c r="K7" s="132"/>
      <c r="L7" s="132"/>
      <c r="M7" s="132"/>
      <c r="N7" s="132"/>
      <c r="O7" s="132"/>
      <c r="P7" s="56"/>
    </row>
    <row r="8" spans="1:16" ht="15" customHeight="1" x14ac:dyDescent="0.25">
      <c r="A8" s="37"/>
      <c r="B8" s="56"/>
      <c r="C8" s="57"/>
      <c r="D8" s="56"/>
      <c r="E8" s="56"/>
      <c r="F8" s="56"/>
      <c r="G8" s="56"/>
      <c r="H8" s="57"/>
      <c r="I8" s="56"/>
      <c r="J8" s="57"/>
      <c r="K8" s="56"/>
      <c r="L8" s="57"/>
      <c r="M8" s="56"/>
      <c r="N8" s="57"/>
      <c r="O8" s="56"/>
      <c r="P8" s="56"/>
    </row>
    <row r="9" spans="1:16" ht="297.75" customHeight="1" x14ac:dyDescent="0.25">
      <c r="A9" s="37"/>
      <c r="B9" s="56"/>
      <c r="C9" s="228" t="s">
        <v>222</v>
      </c>
      <c r="D9" s="228"/>
      <c r="E9" s="228"/>
      <c r="F9" s="228"/>
      <c r="G9" s="228"/>
      <c r="H9" s="228"/>
      <c r="I9" s="228"/>
      <c r="J9" s="228"/>
      <c r="K9" s="228"/>
      <c r="L9" s="228"/>
      <c r="M9" s="228"/>
      <c r="N9" s="228"/>
      <c r="O9" s="228"/>
      <c r="P9" s="56"/>
    </row>
    <row r="10" spans="1:16" ht="15" customHeight="1" x14ac:dyDescent="0.25">
      <c r="A10" s="37"/>
      <c r="B10" s="56"/>
      <c r="C10" s="57"/>
      <c r="D10" s="56"/>
      <c r="E10" s="56"/>
      <c r="F10" s="56"/>
      <c r="G10" s="56"/>
      <c r="H10" s="57"/>
      <c r="I10" s="56"/>
      <c r="J10" s="57"/>
      <c r="K10" s="56"/>
      <c r="L10" s="57"/>
      <c r="M10" s="56"/>
      <c r="N10" s="57"/>
      <c r="O10" s="56"/>
      <c r="P10" s="56"/>
    </row>
    <row r="11" spans="1:16" ht="56.25" customHeight="1" x14ac:dyDescent="0.25">
      <c r="A11" s="37"/>
      <c r="B11" s="56"/>
      <c r="C11" s="227" t="s">
        <v>221</v>
      </c>
      <c r="D11" s="132"/>
      <c r="E11" s="132"/>
      <c r="F11" s="132"/>
      <c r="G11" s="132"/>
      <c r="H11" s="132"/>
      <c r="I11" s="132"/>
      <c r="J11" s="132"/>
      <c r="K11" s="132"/>
      <c r="L11" s="132"/>
      <c r="M11" s="132"/>
      <c r="N11" s="132"/>
      <c r="O11" s="132"/>
      <c r="P11" s="56"/>
    </row>
    <row r="12" spans="1:16" ht="15" customHeight="1" x14ac:dyDescent="0.25">
      <c r="A12" s="37"/>
      <c r="B12" s="56"/>
      <c r="C12" s="57"/>
      <c r="D12" s="56"/>
      <c r="E12" s="56"/>
      <c r="F12" s="56"/>
      <c r="G12" s="56"/>
      <c r="H12" s="57"/>
      <c r="I12" s="56"/>
      <c r="J12" s="57"/>
      <c r="K12" s="56"/>
      <c r="L12" s="57"/>
      <c r="M12" s="56"/>
      <c r="N12" s="57"/>
      <c r="O12" s="56"/>
      <c r="P12" s="56"/>
    </row>
    <row r="13" spans="1:16" ht="56.25" customHeight="1" x14ac:dyDescent="0.25">
      <c r="A13" s="37"/>
      <c r="B13" s="56"/>
      <c r="C13" s="132" t="s">
        <v>220</v>
      </c>
      <c r="D13" s="132"/>
      <c r="E13" s="132"/>
      <c r="F13" s="132"/>
      <c r="G13" s="132"/>
      <c r="H13" s="132"/>
      <c r="I13" s="132"/>
      <c r="J13" s="132"/>
      <c r="K13" s="132"/>
      <c r="L13" s="132"/>
      <c r="M13" s="132"/>
      <c r="N13" s="132"/>
      <c r="O13" s="132"/>
      <c r="P13" s="56"/>
    </row>
    <row r="14" spans="1:16" ht="15" customHeight="1" x14ac:dyDescent="0.25">
      <c r="A14" s="37"/>
      <c r="B14" s="56"/>
      <c r="C14" s="57"/>
      <c r="D14" s="56"/>
      <c r="E14" s="56"/>
      <c r="F14" s="56"/>
      <c r="G14" s="56"/>
      <c r="H14" s="57"/>
      <c r="I14" s="56"/>
      <c r="J14" s="57"/>
      <c r="K14" s="56"/>
      <c r="L14" s="57"/>
      <c r="M14" s="56"/>
      <c r="N14" s="57"/>
      <c r="O14" s="56"/>
      <c r="P14" s="56"/>
    </row>
    <row r="15" spans="1:16" ht="56.25" customHeight="1" x14ac:dyDescent="0.25">
      <c r="A15" s="37"/>
      <c r="B15" s="56"/>
      <c r="C15" s="132" t="s">
        <v>219</v>
      </c>
      <c r="D15" s="132"/>
      <c r="E15" s="132"/>
      <c r="F15" s="132"/>
      <c r="G15" s="132"/>
      <c r="H15" s="132"/>
      <c r="I15" s="132"/>
      <c r="J15" s="132"/>
      <c r="K15" s="132"/>
      <c r="L15" s="132"/>
      <c r="M15" s="132"/>
      <c r="N15" s="132"/>
      <c r="O15" s="132"/>
      <c r="P15" s="56"/>
    </row>
    <row r="16" spans="1:16" ht="15" customHeight="1" x14ac:dyDescent="0.25">
      <c r="A16" s="37"/>
      <c r="B16" s="56"/>
      <c r="C16" s="57"/>
      <c r="D16" s="56"/>
      <c r="E16" s="56"/>
      <c r="F16" s="56"/>
      <c r="G16" s="56"/>
      <c r="H16" s="57"/>
      <c r="I16" s="56"/>
      <c r="J16" s="57"/>
      <c r="K16" s="56"/>
      <c r="L16" s="57"/>
      <c r="M16" s="56"/>
      <c r="N16" s="57"/>
      <c r="O16" s="56"/>
      <c r="P16" s="56"/>
    </row>
    <row r="17" spans="1:16" ht="46.5" x14ac:dyDescent="0.25">
      <c r="A17" s="37"/>
      <c r="B17" s="56"/>
      <c r="C17" s="229" t="s">
        <v>206</v>
      </c>
      <c r="D17" s="229"/>
      <c r="E17" s="229"/>
      <c r="F17" s="229"/>
      <c r="G17" s="229"/>
      <c r="H17" s="229"/>
      <c r="I17" s="229"/>
      <c r="J17" s="229"/>
      <c r="K17" s="229"/>
      <c r="L17" s="229"/>
      <c r="M17" s="229"/>
      <c r="N17" s="229"/>
      <c r="O17" s="229"/>
      <c r="P17" s="56"/>
    </row>
    <row r="18" spans="1:16" ht="48.75" customHeight="1" x14ac:dyDescent="0.55000000000000004">
      <c r="A18" s="37"/>
      <c r="B18" s="56"/>
      <c r="C18" s="126" t="s">
        <v>12</v>
      </c>
      <c r="D18" s="127"/>
      <c r="E18" s="127"/>
      <c r="F18" s="127"/>
      <c r="G18" s="128"/>
      <c r="H18" s="129" t="s">
        <v>204</v>
      </c>
      <c r="I18" s="129"/>
      <c r="J18" s="129"/>
      <c r="K18" s="129"/>
      <c r="L18" s="129" t="s">
        <v>205</v>
      </c>
      <c r="M18" s="129"/>
      <c r="N18" s="129"/>
      <c r="O18" s="129"/>
      <c r="P18" s="56"/>
    </row>
    <row r="19" spans="1:16" ht="48.75" customHeight="1" x14ac:dyDescent="0.25">
      <c r="A19" s="37"/>
      <c r="B19" s="56"/>
      <c r="C19" s="102" t="s">
        <v>128</v>
      </c>
      <c r="D19" s="103"/>
      <c r="E19" s="103"/>
      <c r="F19" s="103"/>
      <c r="G19" s="104"/>
      <c r="H19" s="105" t="s">
        <v>164</v>
      </c>
      <c r="I19" s="106"/>
      <c r="J19" s="106"/>
      <c r="K19" s="106"/>
      <c r="L19" s="105" t="s">
        <v>45</v>
      </c>
      <c r="M19" s="106"/>
      <c r="N19" s="106"/>
      <c r="O19" s="106"/>
      <c r="P19" s="56"/>
    </row>
    <row r="20" spans="1:16" ht="48.75" customHeight="1" x14ac:dyDescent="0.25">
      <c r="A20" s="37"/>
      <c r="B20" s="56"/>
      <c r="C20" s="105" t="s">
        <v>135</v>
      </c>
      <c r="D20" s="106"/>
      <c r="E20" s="106"/>
      <c r="F20" s="106"/>
      <c r="G20" s="121"/>
      <c r="H20" s="105" t="s">
        <v>165</v>
      </c>
      <c r="I20" s="106"/>
      <c r="J20" s="106"/>
      <c r="K20" s="106"/>
      <c r="L20" s="105" t="s">
        <v>45</v>
      </c>
      <c r="M20" s="106"/>
      <c r="N20" s="106"/>
      <c r="O20" s="106"/>
      <c r="P20" s="56"/>
    </row>
    <row r="21" spans="1:16" ht="48.75" customHeight="1" x14ac:dyDescent="0.25">
      <c r="A21" s="37"/>
      <c r="B21" s="56"/>
      <c r="C21" s="135" t="s">
        <v>143</v>
      </c>
      <c r="D21" s="130"/>
      <c r="E21" s="130"/>
      <c r="F21" s="130"/>
      <c r="G21" s="136"/>
      <c r="H21" s="105" t="s">
        <v>166</v>
      </c>
      <c r="I21" s="106"/>
      <c r="J21" s="106"/>
      <c r="K21" s="106"/>
      <c r="L21" s="105" t="s">
        <v>45</v>
      </c>
      <c r="M21" s="106"/>
      <c r="N21" s="106"/>
      <c r="O21" s="106"/>
      <c r="P21" s="56"/>
    </row>
    <row r="22" spans="1:16" s="93" customFormat="1" ht="48.75" customHeight="1" x14ac:dyDescent="0.25">
      <c r="A22" s="91"/>
      <c r="B22" s="92"/>
      <c r="C22" s="105" t="s">
        <v>138</v>
      </c>
      <c r="D22" s="106"/>
      <c r="E22" s="106"/>
      <c r="F22" s="106"/>
      <c r="G22" s="121"/>
      <c r="H22" s="105" t="s">
        <v>167</v>
      </c>
      <c r="I22" s="106"/>
      <c r="J22" s="106"/>
      <c r="K22" s="106"/>
      <c r="L22" s="105" t="s">
        <v>45</v>
      </c>
      <c r="M22" s="106"/>
      <c r="N22" s="106"/>
      <c r="O22" s="106"/>
      <c r="P22" s="92"/>
    </row>
    <row r="23" spans="1:16" ht="48.75" customHeight="1" x14ac:dyDescent="0.25">
      <c r="A23" s="37"/>
      <c r="B23" s="56"/>
      <c r="C23" s="102" t="s">
        <v>201</v>
      </c>
      <c r="D23" s="103"/>
      <c r="E23" s="103"/>
      <c r="F23" s="103"/>
      <c r="G23" s="104"/>
      <c r="H23" s="105" t="s">
        <v>211</v>
      </c>
      <c r="I23" s="106"/>
      <c r="J23" s="106"/>
      <c r="K23" s="106"/>
      <c r="L23" s="105" t="s">
        <v>154</v>
      </c>
      <c r="M23" s="106"/>
      <c r="N23" s="106"/>
      <c r="O23" s="106"/>
      <c r="P23" s="56"/>
    </row>
    <row r="24" spans="1:16" ht="48.75" customHeight="1" x14ac:dyDescent="0.25">
      <c r="A24" s="37"/>
      <c r="B24" s="56"/>
      <c r="C24" s="105" t="s">
        <v>210</v>
      </c>
      <c r="D24" s="106"/>
      <c r="E24" s="106"/>
      <c r="F24" s="106"/>
      <c r="G24" s="121"/>
      <c r="H24" s="105" t="s">
        <v>211</v>
      </c>
      <c r="I24" s="106"/>
      <c r="J24" s="106"/>
      <c r="K24" s="106"/>
      <c r="L24" s="105" t="s">
        <v>154</v>
      </c>
      <c r="M24" s="106"/>
      <c r="N24" s="106"/>
      <c r="O24" s="106"/>
      <c r="P24" s="56"/>
    </row>
    <row r="25" spans="1:16" ht="48.75" customHeight="1" x14ac:dyDescent="0.25">
      <c r="A25" s="37"/>
      <c r="B25" s="56"/>
      <c r="C25" s="130" t="s">
        <v>118</v>
      </c>
      <c r="D25" s="130"/>
      <c r="E25" s="130"/>
      <c r="F25" s="130"/>
      <c r="G25" s="130"/>
      <c r="H25" s="105" t="s">
        <v>147</v>
      </c>
      <c r="I25" s="106"/>
      <c r="J25" s="106"/>
      <c r="K25" s="106"/>
      <c r="L25" s="105" t="s">
        <v>45</v>
      </c>
      <c r="M25" s="106"/>
      <c r="N25" s="106"/>
      <c r="O25" s="106"/>
      <c r="P25" s="56"/>
    </row>
    <row r="26" spans="1:16" ht="48.75" customHeight="1" x14ac:dyDescent="0.25">
      <c r="A26" s="37"/>
      <c r="B26" s="56"/>
      <c r="C26" s="105" t="s">
        <v>148</v>
      </c>
      <c r="D26" s="106"/>
      <c r="E26" s="106"/>
      <c r="F26" s="106"/>
      <c r="G26" s="121"/>
      <c r="H26" s="105" t="s">
        <v>152</v>
      </c>
      <c r="I26" s="106"/>
      <c r="J26" s="106"/>
      <c r="K26" s="106"/>
      <c r="L26" s="105" t="s">
        <v>154</v>
      </c>
      <c r="M26" s="106"/>
      <c r="N26" s="106"/>
      <c r="O26" s="106"/>
      <c r="P26" s="56"/>
    </row>
    <row r="27" spans="1:16" ht="48.75" customHeight="1" x14ac:dyDescent="0.25">
      <c r="A27" s="37"/>
      <c r="B27" s="56"/>
      <c r="C27" s="102" t="s">
        <v>149</v>
      </c>
      <c r="D27" s="103"/>
      <c r="E27" s="103"/>
      <c r="F27" s="103"/>
      <c r="G27" s="104"/>
      <c r="H27" s="105" t="s">
        <v>153</v>
      </c>
      <c r="I27" s="106"/>
      <c r="J27" s="106"/>
      <c r="K27" s="106"/>
      <c r="L27" s="105" t="s">
        <v>154</v>
      </c>
      <c r="M27" s="106"/>
      <c r="N27" s="106"/>
      <c r="O27" s="106"/>
      <c r="P27" s="56"/>
    </row>
    <row r="28" spans="1:16" ht="48.75" customHeight="1" x14ac:dyDescent="0.25">
      <c r="A28" s="37"/>
      <c r="B28" s="56"/>
      <c r="C28" s="102" t="s">
        <v>200</v>
      </c>
      <c r="D28" s="103"/>
      <c r="E28" s="103"/>
      <c r="F28" s="103"/>
      <c r="G28" s="104"/>
      <c r="H28" s="105" t="s">
        <v>202</v>
      </c>
      <c r="I28" s="106"/>
      <c r="J28" s="106"/>
      <c r="K28" s="106"/>
      <c r="L28" s="105" t="s">
        <v>154</v>
      </c>
      <c r="M28" s="106"/>
      <c r="N28" s="106"/>
      <c r="O28" s="106"/>
      <c r="P28" s="56"/>
    </row>
    <row r="29" spans="1:16" ht="60" customHeight="1" x14ac:dyDescent="0.25">
      <c r="A29" s="37"/>
      <c r="B29" s="56"/>
      <c r="C29" s="57"/>
      <c r="D29" s="56"/>
      <c r="E29" s="56"/>
      <c r="F29" s="56"/>
      <c r="G29" s="56"/>
      <c r="H29" s="57"/>
      <c r="I29" s="56"/>
      <c r="J29" s="57"/>
      <c r="K29" s="56"/>
      <c r="L29" s="57"/>
      <c r="M29" s="56"/>
      <c r="N29" s="57"/>
      <c r="O29" s="56"/>
      <c r="P29" s="56"/>
    </row>
    <row r="30" spans="1:16" ht="60" customHeight="1" x14ac:dyDescent="0.25">
      <c r="A30" s="37"/>
      <c r="B30" s="56"/>
      <c r="C30" s="133" t="s">
        <v>207</v>
      </c>
      <c r="D30" s="120"/>
      <c r="E30" s="120"/>
      <c r="F30" s="120"/>
      <c r="G30" s="120"/>
      <c r="H30" s="120"/>
      <c r="I30" s="120"/>
      <c r="J30" s="120"/>
      <c r="K30" s="120"/>
      <c r="L30" s="120"/>
      <c r="M30" s="120"/>
      <c r="N30" s="120"/>
      <c r="O30" s="120"/>
      <c r="P30" s="56"/>
    </row>
    <row r="31" spans="1:16" ht="48.75" customHeight="1" x14ac:dyDescent="0.55000000000000004">
      <c r="A31" s="37"/>
      <c r="B31" s="56"/>
      <c r="C31" s="126" t="s">
        <v>12</v>
      </c>
      <c r="D31" s="127"/>
      <c r="E31" s="127"/>
      <c r="F31" s="127"/>
      <c r="G31" s="128"/>
      <c r="H31" s="129" t="s">
        <v>204</v>
      </c>
      <c r="I31" s="129"/>
      <c r="J31" s="129"/>
      <c r="K31" s="129"/>
      <c r="L31" s="129" t="s">
        <v>205</v>
      </c>
      <c r="M31" s="129"/>
      <c r="N31" s="129"/>
      <c r="O31" s="129"/>
      <c r="P31" s="56"/>
    </row>
    <row r="32" spans="1:16" ht="48.75" customHeight="1" x14ac:dyDescent="0.25">
      <c r="A32" s="37"/>
      <c r="B32" s="56"/>
      <c r="C32" s="105" t="s">
        <v>113</v>
      </c>
      <c r="D32" s="106"/>
      <c r="E32" s="106"/>
      <c r="F32" s="106"/>
      <c r="G32" s="121"/>
      <c r="H32" s="105" t="s">
        <v>174</v>
      </c>
      <c r="I32" s="106"/>
      <c r="J32" s="106"/>
      <c r="K32" s="106"/>
      <c r="L32" s="105" t="s">
        <v>45</v>
      </c>
      <c r="M32" s="106"/>
      <c r="N32" s="106"/>
      <c r="O32" s="106"/>
      <c r="P32" s="56"/>
    </row>
    <row r="33" spans="1:16" ht="48.75" customHeight="1" x14ac:dyDescent="0.25">
      <c r="A33" s="37"/>
      <c r="B33" s="56"/>
      <c r="C33" s="105" t="s">
        <v>115</v>
      </c>
      <c r="D33" s="106"/>
      <c r="E33" s="106"/>
      <c r="F33" s="106"/>
      <c r="G33" s="121"/>
      <c r="H33" s="105" t="s">
        <v>142</v>
      </c>
      <c r="I33" s="106"/>
      <c r="J33" s="106"/>
      <c r="K33" s="106"/>
      <c r="L33" s="105" t="s">
        <v>45</v>
      </c>
      <c r="M33" s="106"/>
      <c r="N33" s="106"/>
      <c r="O33" s="106"/>
      <c r="P33" s="56"/>
    </row>
    <row r="34" spans="1:16" ht="48.75" customHeight="1" x14ac:dyDescent="0.25">
      <c r="A34" s="37"/>
      <c r="B34" s="56"/>
      <c r="C34" s="105" t="s">
        <v>114</v>
      </c>
      <c r="D34" s="106"/>
      <c r="E34" s="106"/>
      <c r="F34" s="106"/>
      <c r="G34" s="121"/>
      <c r="H34" s="105" t="s">
        <v>116</v>
      </c>
      <c r="I34" s="106"/>
      <c r="J34" s="106"/>
      <c r="K34" s="106"/>
      <c r="L34" s="105" t="s">
        <v>154</v>
      </c>
      <c r="M34" s="106"/>
      <c r="N34" s="106"/>
      <c r="O34" s="106"/>
      <c r="P34" s="56"/>
    </row>
    <row r="35" spans="1:16" ht="48.75" customHeight="1" x14ac:dyDescent="0.25">
      <c r="A35" s="37"/>
      <c r="B35" s="56"/>
      <c r="C35" s="105" t="s">
        <v>178</v>
      </c>
      <c r="D35" s="106"/>
      <c r="E35" s="106"/>
      <c r="F35" s="106"/>
      <c r="G35" s="121"/>
      <c r="H35" s="105" t="s">
        <v>179</v>
      </c>
      <c r="I35" s="106"/>
      <c r="J35" s="106"/>
      <c r="K35" s="106"/>
      <c r="L35" s="105" t="s">
        <v>154</v>
      </c>
      <c r="M35" s="106"/>
      <c r="N35" s="106"/>
      <c r="O35" s="106"/>
      <c r="P35" s="56"/>
    </row>
    <row r="36" spans="1:16" ht="45.75" customHeight="1" x14ac:dyDescent="0.25">
      <c r="A36" s="37"/>
      <c r="B36" s="56"/>
      <c r="C36" s="57"/>
      <c r="D36" s="56"/>
      <c r="E36" s="56"/>
      <c r="F36" s="56"/>
      <c r="G36" s="56"/>
      <c r="H36" s="57"/>
      <c r="I36" s="56"/>
      <c r="J36" s="57"/>
      <c r="K36" s="56"/>
      <c r="L36" s="57"/>
      <c r="M36" s="56"/>
      <c r="N36" s="57"/>
      <c r="O36" s="56"/>
      <c r="P36" s="56"/>
    </row>
    <row r="37" spans="1:16" ht="60" customHeight="1" x14ac:dyDescent="0.25">
      <c r="A37" s="37"/>
      <c r="B37" s="56"/>
      <c r="C37" s="133" t="s">
        <v>225</v>
      </c>
      <c r="D37" s="133"/>
      <c r="E37" s="133"/>
      <c r="F37" s="133"/>
      <c r="G37" s="133"/>
      <c r="H37" s="133"/>
      <c r="I37" s="133"/>
      <c r="J37" s="133"/>
      <c r="K37" s="133"/>
      <c r="L37" s="133"/>
      <c r="M37" s="133"/>
      <c r="N37" s="133"/>
      <c r="O37" s="133"/>
      <c r="P37" s="56"/>
    </row>
    <row r="38" spans="1:16" ht="50.25" customHeight="1" x14ac:dyDescent="0.55000000000000004">
      <c r="A38" s="37"/>
      <c r="B38" s="56"/>
      <c r="C38" s="126" t="s">
        <v>12</v>
      </c>
      <c r="D38" s="127"/>
      <c r="E38" s="127"/>
      <c r="F38" s="127"/>
      <c r="G38" s="128"/>
      <c r="H38" s="129" t="s">
        <v>204</v>
      </c>
      <c r="I38" s="129"/>
      <c r="J38" s="129"/>
      <c r="K38" s="129"/>
      <c r="L38" s="129" t="s">
        <v>205</v>
      </c>
      <c r="M38" s="129"/>
      <c r="N38" s="129"/>
      <c r="O38" s="129"/>
      <c r="P38" s="56"/>
    </row>
    <row r="39" spans="1:16" ht="48.75" customHeight="1" x14ac:dyDescent="0.25">
      <c r="A39" s="37"/>
      <c r="B39" s="56"/>
      <c r="C39" s="105" t="s">
        <v>160</v>
      </c>
      <c r="D39" s="106"/>
      <c r="E39" s="106"/>
      <c r="F39" s="106"/>
      <c r="G39" s="121"/>
      <c r="H39" s="105" t="s">
        <v>208</v>
      </c>
      <c r="I39" s="106"/>
      <c r="J39" s="106"/>
      <c r="K39" s="106"/>
      <c r="L39" s="105" t="s">
        <v>159</v>
      </c>
      <c r="M39" s="106"/>
      <c r="N39" s="106"/>
      <c r="O39" s="106"/>
      <c r="P39" s="56"/>
    </row>
    <row r="40" spans="1:16" ht="48.75" customHeight="1" x14ac:dyDescent="0.25">
      <c r="A40" s="37"/>
      <c r="B40" s="56"/>
      <c r="C40" s="105" t="s">
        <v>161</v>
      </c>
      <c r="D40" s="106"/>
      <c r="E40" s="106"/>
      <c r="F40" s="106"/>
      <c r="G40" s="121"/>
      <c r="H40" s="105" t="s">
        <v>209</v>
      </c>
      <c r="I40" s="106"/>
      <c r="J40" s="106"/>
      <c r="K40" s="106"/>
      <c r="L40" s="105" t="s">
        <v>159</v>
      </c>
      <c r="M40" s="106"/>
      <c r="N40" s="106"/>
      <c r="O40" s="106"/>
      <c r="P40" s="56"/>
    </row>
    <row r="41" spans="1:16" ht="45.75" customHeight="1" x14ac:dyDescent="0.25">
      <c r="A41" s="37"/>
      <c r="B41" s="56"/>
      <c r="C41" s="57"/>
      <c r="D41" s="56"/>
      <c r="E41" s="56"/>
      <c r="F41" s="56"/>
      <c r="G41" s="56"/>
      <c r="H41" s="57"/>
      <c r="I41" s="56"/>
      <c r="J41" s="57"/>
      <c r="K41" s="56"/>
      <c r="L41" s="57"/>
      <c r="M41" s="56"/>
      <c r="N41" s="57"/>
      <c r="O41" s="56"/>
      <c r="P41" s="56"/>
    </row>
    <row r="42" spans="1:16" ht="52.5" customHeight="1" x14ac:dyDescent="0.25">
      <c r="A42" s="37"/>
      <c r="B42" s="56"/>
      <c r="C42" s="133" t="s">
        <v>212</v>
      </c>
      <c r="D42" s="120"/>
      <c r="E42" s="120"/>
      <c r="F42" s="120"/>
      <c r="G42" s="120"/>
      <c r="H42" s="120"/>
      <c r="I42" s="120"/>
      <c r="J42" s="120"/>
      <c r="K42" s="120"/>
      <c r="L42" s="120"/>
      <c r="M42" s="120"/>
      <c r="N42" s="120"/>
      <c r="O42" s="120"/>
      <c r="P42" s="56"/>
    </row>
    <row r="43" spans="1:16" ht="44.25" customHeight="1" x14ac:dyDescent="0.65">
      <c r="A43" s="37"/>
      <c r="B43" s="56"/>
      <c r="C43" s="78" t="s">
        <v>104</v>
      </c>
      <c r="D43" s="58"/>
      <c r="E43" s="58"/>
      <c r="F43" s="58"/>
      <c r="G43" s="79"/>
      <c r="H43" s="58"/>
      <c r="I43" s="58"/>
      <c r="J43" s="58"/>
      <c r="K43" s="58"/>
      <c r="L43" s="58"/>
      <c r="M43" s="58"/>
      <c r="N43" s="58"/>
      <c r="O43" s="83"/>
      <c r="P43" s="56"/>
    </row>
    <row r="44" spans="1:16" ht="44.25" customHeight="1" x14ac:dyDescent="0.55000000000000004">
      <c r="A44" s="37"/>
      <c r="B44" s="56"/>
      <c r="C44" s="80" t="s">
        <v>97</v>
      </c>
      <c r="D44" s="81"/>
      <c r="E44" s="81"/>
      <c r="F44" s="81"/>
      <c r="G44" s="82"/>
      <c r="H44" s="81"/>
      <c r="I44" s="81"/>
      <c r="J44" s="81"/>
      <c r="K44" s="81"/>
      <c r="L44" s="81"/>
      <c r="M44" s="81"/>
      <c r="N44" s="81"/>
      <c r="O44" s="81"/>
      <c r="P44" s="56"/>
    </row>
    <row r="45" spans="1:16" ht="15" customHeight="1" x14ac:dyDescent="0.25">
      <c r="A45" s="37"/>
      <c r="B45" s="56"/>
      <c r="C45" s="57"/>
      <c r="D45" s="56"/>
      <c r="E45" s="56"/>
      <c r="F45" s="56"/>
      <c r="G45" s="56"/>
      <c r="H45" s="57"/>
      <c r="I45" s="56"/>
      <c r="J45" s="57"/>
      <c r="K45" s="56"/>
      <c r="L45" s="57"/>
      <c r="M45" s="56"/>
      <c r="N45" s="57"/>
      <c r="O45" s="56"/>
      <c r="P45" s="56"/>
    </row>
    <row r="46" spans="1:16" ht="44.25" customHeight="1" x14ac:dyDescent="0.55000000000000004">
      <c r="A46" s="37"/>
      <c r="B46" s="56"/>
      <c r="C46" s="80" t="s">
        <v>87</v>
      </c>
      <c r="D46" s="81"/>
      <c r="E46" s="81"/>
      <c r="F46" s="81"/>
      <c r="G46" s="82"/>
      <c r="H46" s="81"/>
      <c r="I46" s="81"/>
      <c r="J46" s="81"/>
      <c r="K46" s="81"/>
      <c r="L46" s="81"/>
      <c r="M46" s="81"/>
      <c r="N46" s="81"/>
      <c r="O46" s="81"/>
      <c r="P46" s="56"/>
    </row>
    <row r="47" spans="1:16" ht="44.25" customHeight="1" x14ac:dyDescent="0.25">
      <c r="A47" s="37"/>
      <c r="B47" s="56"/>
      <c r="C47" s="67">
        <v>0.375</v>
      </c>
      <c r="D47" s="66">
        <v>6.9444444444444441E-3</v>
      </c>
      <c r="E47" s="86" t="s">
        <v>71</v>
      </c>
      <c r="F47" s="67">
        <f>D47+C47</f>
        <v>0.38194444444444442</v>
      </c>
      <c r="G47" s="84" t="s">
        <v>89</v>
      </c>
      <c r="H47" s="84"/>
      <c r="I47" s="84"/>
      <c r="J47" s="84"/>
      <c r="K47" s="84"/>
      <c r="L47" s="84"/>
      <c r="M47" s="84"/>
      <c r="N47" s="84"/>
      <c r="O47" s="84"/>
      <c r="P47" s="56"/>
    </row>
    <row r="48" spans="1:16" ht="44.25" customHeight="1" x14ac:dyDescent="0.25">
      <c r="A48" s="37"/>
      <c r="B48" s="56"/>
      <c r="C48" s="65">
        <f>F47</f>
        <v>0.38194444444444442</v>
      </c>
      <c r="D48" s="66">
        <v>3.125E-2</v>
      </c>
      <c r="E48" s="86" t="s">
        <v>71</v>
      </c>
      <c r="F48" s="65">
        <f t="shared" ref="F48" si="0">C48+D48</f>
        <v>0.41319444444444442</v>
      </c>
      <c r="G48" s="72" t="s">
        <v>90</v>
      </c>
      <c r="H48" s="72"/>
      <c r="I48" s="72"/>
      <c r="J48" s="72"/>
      <c r="K48" s="72"/>
      <c r="L48" s="72"/>
      <c r="M48" s="72"/>
      <c r="N48" s="72"/>
      <c r="O48" s="72"/>
      <c r="P48" s="56"/>
    </row>
    <row r="49" spans="1:16" ht="44.25" customHeight="1" x14ac:dyDescent="0.55000000000000004">
      <c r="A49" s="37"/>
      <c r="B49" s="56"/>
      <c r="C49" s="80" t="s">
        <v>88</v>
      </c>
      <c r="D49" s="65"/>
      <c r="E49" s="85"/>
      <c r="F49" s="65"/>
      <c r="G49" s="72"/>
      <c r="H49" s="72"/>
      <c r="I49" s="72"/>
      <c r="J49" s="72"/>
      <c r="K49" s="72"/>
      <c r="L49" s="72"/>
      <c r="M49" s="72"/>
      <c r="N49" s="72"/>
      <c r="O49" s="72"/>
      <c r="P49" s="56"/>
    </row>
    <row r="50" spans="1:16" ht="44.25" customHeight="1" x14ac:dyDescent="0.25">
      <c r="A50" s="37"/>
      <c r="B50" s="56"/>
      <c r="C50" s="65">
        <v>0.3888888888888889</v>
      </c>
      <c r="D50" s="66">
        <v>6.9444444444444441E-3</v>
      </c>
      <c r="E50" s="85" t="s">
        <v>71</v>
      </c>
      <c r="F50" s="65">
        <f t="shared" ref="F50" si="1">C50+D50</f>
        <v>0.39583333333333331</v>
      </c>
      <c r="G50" s="72" t="s">
        <v>91</v>
      </c>
      <c r="H50" s="72"/>
      <c r="I50" s="72"/>
      <c r="J50" s="72"/>
      <c r="K50" s="72"/>
      <c r="L50" s="72"/>
      <c r="M50" s="72"/>
      <c r="N50" s="72"/>
      <c r="O50" s="72"/>
      <c r="P50" s="56"/>
    </row>
    <row r="51" spans="1:16" ht="44.25" customHeight="1" x14ac:dyDescent="0.25">
      <c r="A51" s="37"/>
      <c r="B51" s="56"/>
      <c r="C51" s="67">
        <f>F50</f>
        <v>0.39583333333333331</v>
      </c>
      <c r="D51" s="66">
        <v>1.3888888888888888E-2</v>
      </c>
      <c r="E51" s="85" t="s">
        <v>71</v>
      </c>
      <c r="F51" s="67">
        <f>D51+C51</f>
        <v>0.40972222222222221</v>
      </c>
      <c r="G51" s="84" t="s">
        <v>96</v>
      </c>
      <c r="H51" s="84"/>
      <c r="I51" s="84"/>
      <c r="J51" s="84"/>
      <c r="K51" s="84"/>
      <c r="L51" s="84"/>
      <c r="M51" s="84"/>
      <c r="N51" s="84"/>
      <c r="O51" s="84"/>
      <c r="P51" s="56"/>
    </row>
    <row r="52" spans="1:16" ht="44.25" customHeight="1" x14ac:dyDescent="0.25">
      <c r="A52" s="37"/>
      <c r="B52" s="56"/>
      <c r="C52" s="67"/>
      <c r="D52" s="66"/>
      <c r="E52" s="85"/>
      <c r="F52" s="67"/>
      <c r="G52" s="84"/>
      <c r="H52" s="84"/>
      <c r="I52" s="84"/>
      <c r="J52" s="84"/>
      <c r="K52" s="84"/>
      <c r="L52" s="84"/>
      <c r="M52" s="84"/>
      <c r="N52" s="84"/>
      <c r="O52" s="84"/>
      <c r="P52" s="56"/>
    </row>
    <row r="53" spans="1:16" ht="44.25" customHeight="1" x14ac:dyDescent="0.25">
      <c r="A53" s="37"/>
      <c r="B53" s="56"/>
      <c r="C53" s="67">
        <v>0.41666666666666669</v>
      </c>
      <c r="D53" s="66">
        <v>1.3888888888888888E-2</v>
      </c>
      <c r="E53" s="86" t="s">
        <v>71</v>
      </c>
      <c r="F53" s="67">
        <f>D53+C53</f>
        <v>0.43055555555555558</v>
      </c>
      <c r="G53" s="84" t="s">
        <v>228</v>
      </c>
      <c r="H53" s="84"/>
      <c r="I53" s="84"/>
      <c r="J53" s="84"/>
      <c r="K53" s="84"/>
      <c r="L53" s="84"/>
      <c r="M53" s="84"/>
      <c r="N53" s="84"/>
      <c r="O53" s="84"/>
      <c r="P53" s="56"/>
    </row>
    <row r="54" spans="1:16" ht="44.25" customHeight="1" x14ac:dyDescent="0.25">
      <c r="A54" s="37"/>
      <c r="B54" s="56"/>
      <c r="C54" s="86">
        <f>F53</f>
        <v>0.43055555555555558</v>
      </c>
      <c r="D54" s="66">
        <v>1.3888888888888888E-2</v>
      </c>
      <c r="E54" s="86" t="s">
        <v>71</v>
      </c>
      <c r="F54" s="86">
        <f t="shared" ref="F54:F64" si="2">C54+D54</f>
        <v>0.44444444444444448</v>
      </c>
      <c r="G54" s="63" t="s">
        <v>92</v>
      </c>
      <c r="H54" s="63"/>
      <c r="I54" s="63"/>
      <c r="J54" s="63"/>
      <c r="K54" s="63"/>
      <c r="L54" s="63"/>
      <c r="M54" s="63"/>
      <c r="N54" s="63"/>
      <c r="O54" s="63"/>
      <c r="P54" s="56"/>
    </row>
    <row r="55" spans="1:16" ht="44.25" customHeight="1" x14ac:dyDescent="0.25">
      <c r="A55" s="37"/>
      <c r="B55" s="56"/>
      <c r="C55" s="86">
        <f t="shared" ref="C55" si="3">F54</f>
        <v>0.44444444444444448</v>
      </c>
      <c r="D55" s="66">
        <v>1.7361111111111112E-2</v>
      </c>
      <c r="E55" s="86" t="s">
        <v>71</v>
      </c>
      <c r="F55" s="86">
        <f>C55+D55</f>
        <v>0.46180555555555558</v>
      </c>
      <c r="G55" s="68" t="s">
        <v>93</v>
      </c>
      <c r="H55" s="68"/>
      <c r="I55" s="68"/>
      <c r="J55" s="68"/>
      <c r="K55" s="68"/>
      <c r="L55" s="68"/>
      <c r="M55" s="68"/>
      <c r="N55" s="68"/>
      <c r="O55" s="68"/>
      <c r="P55" s="56"/>
    </row>
    <row r="56" spans="1:16" ht="42" customHeight="1" x14ac:dyDescent="0.25">
      <c r="A56" s="37"/>
      <c r="B56" s="56"/>
      <c r="C56" s="86">
        <f>F55</f>
        <v>0.46180555555555558</v>
      </c>
      <c r="D56" s="66">
        <v>1.3888888888888888E-2</v>
      </c>
      <c r="E56" s="86" t="s">
        <v>71</v>
      </c>
      <c r="F56" s="86">
        <f t="shared" ref="F56" si="4">C56+D56</f>
        <v>0.47569444444444448</v>
      </c>
      <c r="G56" s="68" t="s">
        <v>226</v>
      </c>
      <c r="H56" s="68"/>
      <c r="I56" s="68"/>
      <c r="J56" s="68"/>
      <c r="K56" s="68"/>
      <c r="L56" s="68"/>
      <c r="M56" s="68"/>
      <c r="N56" s="68"/>
      <c r="O56" s="68"/>
      <c r="P56" s="56"/>
    </row>
    <row r="57" spans="1:16" ht="42" customHeight="1" x14ac:dyDescent="0.25">
      <c r="A57" s="37"/>
      <c r="B57" s="56"/>
      <c r="C57" s="86">
        <f>F56</f>
        <v>0.47569444444444448</v>
      </c>
      <c r="D57" s="66">
        <v>3.125E-2</v>
      </c>
      <c r="E57" s="86" t="s">
        <v>71</v>
      </c>
      <c r="F57" s="86">
        <f t="shared" si="2"/>
        <v>0.50694444444444442</v>
      </c>
      <c r="G57" s="68" t="s">
        <v>94</v>
      </c>
      <c r="H57" s="68"/>
      <c r="I57" s="68"/>
      <c r="J57" s="68"/>
      <c r="K57" s="68"/>
      <c r="L57" s="68"/>
      <c r="M57" s="68"/>
      <c r="N57" s="68"/>
      <c r="O57" s="68"/>
      <c r="P57" s="56"/>
    </row>
    <row r="58" spans="1:16" ht="44.25" customHeight="1" x14ac:dyDescent="0.25">
      <c r="A58" s="37"/>
      <c r="B58" s="56"/>
      <c r="C58" s="86">
        <f>F57</f>
        <v>0.50694444444444442</v>
      </c>
      <c r="D58" s="66">
        <v>1.3888888888888888E-2</v>
      </c>
      <c r="E58" s="86" t="s">
        <v>71</v>
      </c>
      <c r="F58" s="86">
        <f t="shared" si="2"/>
        <v>0.52083333333333326</v>
      </c>
      <c r="G58" s="68" t="s">
        <v>95</v>
      </c>
      <c r="H58" s="68"/>
      <c r="I58" s="68"/>
      <c r="J58" s="68"/>
      <c r="K58" s="68"/>
      <c r="L58" s="68"/>
      <c r="M58" s="68"/>
      <c r="N58" s="68"/>
      <c r="O58" s="68"/>
      <c r="P58" s="56"/>
    </row>
    <row r="59" spans="1:16" ht="44.25" customHeight="1" x14ac:dyDescent="0.25">
      <c r="A59" s="37"/>
      <c r="B59" s="56"/>
      <c r="C59" s="86">
        <f t="shared" ref="C59:C60" si="5">F58</f>
        <v>0.52083333333333326</v>
      </c>
      <c r="D59" s="66">
        <v>1.3888888888888888E-2</v>
      </c>
      <c r="E59" s="86" t="s">
        <v>71</v>
      </c>
      <c r="F59" s="86">
        <f t="shared" si="2"/>
        <v>0.5347222222222221</v>
      </c>
      <c r="G59" s="63" t="s">
        <v>227</v>
      </c>
      <c r="H59" s="63"/>
      <c r="I59" s="63"/>
      <c r="J59" s="63"/>
      <c r="K59" s="63"/>
      <c r="L59" s="63"/>
      <c r="M59" s="63"/>
      <c r="N59" s="63"/>
      <c r="O59" s="63"/>
      <c r="P59" s="56"/>
    </row>
    <row r="60" spans="1:16" ht="44.25" customHeight="1" x14ac:dyDescent="0.25">
      <c r="A60" s="37"/>
      <c r="B60" s="56"/>
      <c r="C60" s="86">
        <f t="shared" si="5"/>
        <v>0.5347222222222221</v>
      </c>
      <c r="D60" s="66">
        <v>6.9444444444444441E-3</v>
      </c>
      <c r="E60" s="86" t="s">
        <v>71</v>
      </c>
      <c r="F60" s="86">
        <f t="shared" si="2"/>
        <v>0.54166666666666652</v>
      </c>
      <c r="G60" s="63" t="s">
        <v>96</v>
      </c>
      <c r="H60" s="63"/>
      <c r="I60" s="63"/>
      <c r="J60" s="63"/>
      <c r="K60" s="63"/>
      <c r="L60" s="63"/>
      <c r="M60" s="63"/>
      <c r="N60" s="63"/>
      <c r="O60" s="63"/>
      <c r="P60" s="56"/>
    </row>
    <row r="61" spans="1:16" ht="44.25" customHeight="1" x14ac:dyDescent="0.25">
      <c r="A61" s="37"/>
      <c r="B61" s="56"/>
      <c r="C61" s="86">
        <f>F60</f>
        <v>0.54166666666666652</v>
      </c>
      <c r="D61" s="66">
        <v>2.0833333333333332E-2</v>
      </c>
      <c r="E61" s="86" t="s">
        <v>71</v>
      </c>
      <c r="F61" s="86">
        <f t="shared" si="2"/>
        <v>0.56249999999999989</v>
      </c>
      <c r="G61" s="77" t="s">
        <v>73</v>
      </c>
      <c r="P61" s="56"/>
    </row>
    <row r="62" spans="1:16" ht="44.25" customHeight="1" x14ac:dyDescent="0.25">
      <c r="A62" s="37"/>
      <c r="B62" s="56"/>
      <c r="C62" s="86">
        <f t="shared" ref="C62" si="6">F61</f>
        <v>0.56249999999999989</v>
      </c>
      <c r="D62" s="66">
        <v>0.125</v>
      </c>
      <c r="E62" s="86" t="s">
        <v>71</v>
      </c>
      <c r="F62" s="86">
        <f t="shared" si="2"/>
        <v>0.68749999999999989</v>
      </c>
      <c r="G62" s="63" t="s">
        <v>98</v>
      </c>
      <c r="H62" s="63"/>
      <c r="I62" s="63"/>
      <c r="J62" s="63"/>
      <c r="K62" s="63"/>
      <c r="L62" s="63"/>
      <c r="M62" s="63"/>
      <c r="N62" s="63"/>
      <c r="O62" s="63"/>
      <c r="P62" s="56"/>
    </row>
    <row r="63" spans="1:16" ht="44.25" customHeight="1" x14ac:dyDescent="0.55000000000000004">
      <c r="A63" s="37"/>
      <c r="B63" s="56"/>
      <c r="C63" s="80" t="s">
        <v>87</v>
      </c>
      <c r="D63" s="81"/>
      <c r="E63" s="81"/>
      <c r="F63" s="81"/>
      <c r="G63" s="82"/>
      <c r="H63" s="81"/>
      <c r="I63" s="81"/>
      <c r="J63" s="81"/>
      <c r="K63" s="81"/>
      <c r="L63" s="81"/>
      <c r="M63" s="81"/>
      <c r="N63" s="81"/>
      <c r="O63" s="81"/>
      <c r="P63" s="56"/>
    </row>
    <row r="64" spans="1:16" ht="44.25" customHeight="1" x14ac:dyDescent="0.25">
      <c r="A64" s="37"/>
      <c r="B64" s="56"/>
      <c r="C64" s="86">
        <f>F62</f>
        <v>0.68749999999999989</v>
      </c>
      <c r="D64" s="66">
        <v>1.3888888888888888E-2</v>
      </c>
      <c r="E64" s="86" t="s">
        <v>71</v>
      </c>
      <c r="F64" s="86">
        <f t="shared" si="2"/>
        <v>0.70138888888888873</v>
      </c>
      <c r="G64" s="63" t="s">
        <v>99</v>
      </c>
      <c r="H64" s="63"/>
      <c r="I64" s="63"/>
      <c r="J64" s="63"/>
      <c r="K64" s="63"/>
      <c r="L64" s="63"/>
      <c r="M64" s="63"/>
      <c r="N64" s="63"/>
      <c r="O64" s="63"/>
      <c r="P64" s="56"/>
    </row>
    <row r="65" spans="1:17" ht="44.25" customHeight="1" x14ac:dyDescent="0.55000000000000004">
      <c r="A65" s="37"/>
      <c r="B65" s="56"/>
      <c r="C65" s="80" t="s">
        <v>88</v>
      </c>
      <c r="D65" s="81"/>
      <c r="E65" s="81"/>
      <c r="F65" s="81"/>
      <c r="G65" s="82"/>
      <c r="H65" s="81"/>
      <c r="I65" s="81"/>
      <c r="J65" s="81"/>
      <c r="K65" s="81"/>
      <c r="L65" s="81"/>
      <c r="M65" s="81"/>
      <c r="N65" s="81"/>
      <c r="O65" s="81"/>
      <c r="P65" s="56"/>
    </row>
    <row r="66" spans="1:17" ht="44.25" customHeight="1" x14ac:dyDescent="0.25">
      <c r="A66" s="37"/>
      <c r="B66" s="56"/>
      <c r="C66" s="86">
        <f>F62</f>
        <v>0.68749999999999989</v>
      </c>
      <c r="D66" s="66">
        <v>4.1666666666666664E-2</v>
      </c>
      <c r="E66" s="86" t="s">
        <v>71</v>
      </c>
      <c r="F66" s="86">
        <f t="shared" ref="F66" si="7">C66+D66</f>
        <v>0.72916666666666652</v>
      </c>
      <c r="G66" s="63" t="s">
        <v>100</v>
      </c>
      <c r="H66" s="63"/>
      <c r="I66" s="63"/>
      <c r="J66" s="63"/>
      <c r="K66" s="63"/>
      <c r="L66" s="63"/>
      <c r="M66" s="63"/>
      <c r="N66" s="63"/>
      <c r="O66" s="63"/>
      <c r="P66" s="56"/>
    </row>
    <row r="67" spans="1:17" ht="44.25" customHeight="1" x14ac:dyDescent="0.25">
      <c r="A67" s="37"/>
      <c r="B67" s="56"/>
      <c r="C67" s="87"/>
      <c r="D67" s="65"/>
      <c r="E67" s="87"/>
      <c r="F67" s="87"/>
      <c r="G67" s="63" t="s">
        <v>101</v>
      </c>
      <c r="H67" s="63"/>
      <c r="I67" s="63"/>
      <c r="J67" s="63"/>
      <c r="K67" s="63"/>
      <c r="L67" s="63"/>
      <c r="M67" s="63"/>
      <c r="N67" s="63"/>
      <c r="O67" s="63"/>
      <c r="P67" s="56"/>
    </row>
    <row r="68" spans="1:17" ht="44.25" customHeight="1" x14ac:dyDescent="0.25">
      <c r="A68" s="37"/>
      <c r="B68" s="56"/>
      <c r="C68" s="87"/>
      <c r="D68" s="65"/>
      <c r="E68" s="87"/>
      <c r="F68" s="87"/>
      <c r="G68" s="74" t="s">
        <v>102</v>
      </c>
      <c r="H68" s="69"/>
      <c r="I68" s="71"/>
      <c r="J68" s="71"/>
      <c r="K68" s="71"/>
      <c r="L68" s="71"/>
      <c r="M68" s="72"/>
      <c r="N68" s="72"/>
      <c r="P68" s="56"/>
    </row>
    <row r="69" spans="1:17" ht="34.5" customHeight="1" x14ac:dyDescent="0.25">
      <c r="A69" s="37"/>
      <c r="B69" s="56"/>
      <c r="C69" s="65"/>
      <c r="D69" s="65"/>
      <c r="E69" s="87"/>
      <c r="F69" s="65"/>
      <c r="G69" s="69"/>
      <c r="H69" s="69"/>
      <c r="I69" s="71"/>
      <c r="J69" s="71"/>
      <c r="K69" s="71"/>
      <c r="L69" s="71"/>
      <c r="M69" s="72"/>
      <c r="N69" s="72"/>
      <c r="P69" s="56"/>
    </row>
    <row r="70" spans="1:17" ht="44.25" customHeight="1" x14ac:dyDescent="0.65">
      <c r="A70" s="37"/>
      <c r="B70" s="56"/>
      <c r="C70" s="78" t="s">
        <v>103</v>
      </c>
      <c r="D70" s="58"/>
      <c r="E70" s="58"/>
      <c r="F70" s="58"/>
      <c r="G70" s="79"/>
      <c r="H70" s="58"/>
      <c r="I70" s="58"/>
      <c r="J70" s="58"/>
      <c r="K70" s="58"/>
      <c r="L70" s="58"/>
      <c r="M70" s="58"/>
      <c r="N70" s="58"/>
      <c r="O70" s="83"/>
      <c r="P70" s="56"/>
    </row>
    <row r="71" spans="1:17" ht="44.25" customHeight="1" x14ac:dyDescent="0.55000000000000004">
      <c r="A71" s="37"/>
      <c r="B71" s="56"/>
      <c r="C71" s="80" t="s">
        <v>112</v>
      </c>
      <c r="D71" s="81"/>
      <c r="E71" s="81"/>
      <c r="F71" s="81"/>
      <c r="G71" s="82"/>
      <c r="H71" s="81"/>
      <c r="I71" s="81"/>
      <c r="J71" s="81"/>
      <c r="K71" s="81"/>
      <c r="L71" s="81"/>
      <c r="M71" s="81"/>
      <c r="N71" s="81"/>
      <c r="O71" s="81"/>
      <c r="P71" s="56"/>
    </row>
    <row r="72" spans="1:17" ht="15" customHeight="1" x14ac:dyDescent="0.25">
      <c r="A72" s="37"/>
      <c r="B72" s="56"/>
      <c r="C72" s="57"/>
      <c r="D72" s="56"/>
      <c r="E72" s="56"/>
      <c r="F72" s="56"/>
      <c r="G72" s="56"/>
      <c r="H72" s="57"/>
      <c r="I72" s="56"/>
      <c r="J72" s="57"/>
      <c r="K72" s="56"/>
      <c r="L72" s="57"/>
      <c r="M72" s="56"/>
      <c r="N72" s="57"/>
      <c r="O72" s="56"/>
      <c r="P72" s="56"/>
    </row>
    <row r="73" spans="1:17" ht="44.25" customHeight="1" x14ac:dyDescent="0.25">
      <c r="A73" s="37"/>
      <c r="B73" s="56"/>
      <c r="C73" s="86">
        <v>0.36458333333333331</v>
      </c>
      <c r="D73" s="66">
        <v>6.9444444444444441E-3</v>
      </c>
      <c r="E73" s="86" t="s">
        <v>71</v>
      </c>
      <c r="F73" s="67">
        <f>D73+C73</f>
        <v>0.37152777777777773</v>
      </c>
      <c r="G73" s="63" t="s">
        <v>105</v>
      </c>
      <c r="H73" s="63"/>
      <c r="I73" s="63"/>
      <c r="J73" s="63"/>
      <c r="K73" s="63"/>
      <c r="L73" s="63"/>
      <c r="M73" s="63"/>
      <c r="N73" s="63"/>
      <c r="O73" s="63"/>
      <c r="P73" s="56"/>
    </row>
    <row r="74" spans="1:17" ht="44.25" customHeight="1" x14ac:dyDescent="0.25">
      <c r="A74" s="37"/>
      <c r="B74" s="56"/>
      <c r="C74" s="67">
        <f>F73</f>
        <v>0.37152777777777773</v>
      </c>
      <c r="D74" s="66">
        <v>2.0833333333333332E-2</v>
      </c>
      <c r="E74" s="86" t="s">
        <v>71</v>
      </c>
      <c r="F74" s="67">
        <f>D74+C74</f>
        <v>0.39236111111111105</v>
      </c>
      <c r="G74" s="63" t="s">
        <v>100</v>
      </c>
      <c r="H74" s="63"/>
      <c r="I74" s="63"/>
      <c r="J74" s="63"/>
      <c r="K74" s="63"/>
      <c r="L74" s="63"/>
      <c r="M74" s="63"/>
      <c r="N74" s="63"/>
      <c r="O74" s="63"/>
      <c r="P74" s="56"/>
    </row>
    <row r="75" spans="1:17" ht="44.25" customHeight="1" x14ac:dyDescent="0.25">
      <c r="A75" s="37"/>
      <c r="B75" s="56"/>
      <c r="C75" s="67">
        <f>F74</f>
        <v>0.39236111111111105</v>
      </c>
      <c r="D75" s="66">
        <v>6.9444444444444441E-3</v>
      </c>
      <c r="E75" s="86" t="s">
        <v>71</v>
      </c>
      <c r="F75" s="67">
        <f>D75+C75</f>
        <v>0.39930555555555547</v>
      </c>
      <c r="G75" s="63" t="s">
        <v>107</v>
      </c>
      <c r="H75" s="63"/>
      <c r="I75" s="63"/>
      <c r="J75" s="63"/>
      <c r="K75" s="63"/>
      <c r="L75" s="63"/>
      <c r="M75" s="63"/>
      <c r="N75" s="63"/>
      <c r="O75" s="63"/>
      <c r="P75" s="56"/>
    </row>
    <row r="76" spans="1:17" ht="44.25" customHeight="1" x14ac:dyDescent="0.25">
      <c r="A76" s="37"/>
      <c r="B76" s="56"/>
      <c r="C76" s="67">
        <f>F75</f>
        <v>0.39930555555555547</v>
      </c>
      <c r="D76" s="66">
        <v>5.2083333333333336E-2</v>
      </c>
      <c r="E76" s="86" t="s">
        <v>71</v>
      </c>
      <c r="F76" s="67">
        <f>D76+C76</f>
        <v>0.45138888888888878</v>
      </c>
      <c r="G76" s="63" t="s">
        <v>108</v>
      </c>
      <c r="H76" s="63"/>
      <c r="I76" s="63"/>
      <c r="J76" s="63"/>
      <c r="K76" s="63"/>
      <c r="L76" s="63"/>
      <c r="M76" s="63"/>
      <c r="N76" s="63"/>
      <c r="O76" s="63"/>
      <c r="P76" s="56"/>
    </row>
    <row r="77" spans="1:17" ht="44.25" customHeight="1" x14ac:dyDescent="0.25">
      <c r="A77" s="37"/>
      <c r="B77" s="56"/>
      <c r="C77" s="67">
        <f>F76</f>
        <v>0.45138888888888878</v>
      </c>
      <c r="D77" s="66">
        <v>4.1666666666666664E-2</v>
      </c>
      <c r="E77" s="86" t="s">
        <v>71</v>
      </c>
      <c r="F77" s="67">
        <f t="shared" ref="F77:F78" si="8">D77+C77</f>
        <v>0.49305555555555547</v>
      </c>
      <c r="G77" s="63" t="s">
        <v>109</v>
      </c>
      <c r="H77" s="63"/>
      <c r="I77" s="63"/>
      <c r="J77" s="63"/>
      <c r="K77" s="63"/>
      <c r="L77" s="63"/>
      <c r="M77" s="63"/>
      <c r="N77" s="63"/>
      <c r="O77" s="63"/>
      <c r="P77" s="56"/>
    </row>
    <row r="78" spans="1:17" ht="44.25" customHeight="1" x14ac:dyDescent="0.25">
      <c r="A78" s="37"/>
      <c r="B78" s="56"/>
      <c r="C78" s="67">
        <v>0.49305555555555558</v>
      </c>
      <c r="D78" s="66">
        <v>4.5138888888888888E-2</v>
      </c>
      <c r="E78" s="86" t="s">
        <v>71</v>
      </c>
      <c r="F78" s="67">
        <f t="shared" si="8"/>
        <v>0.53819444444444442</v>
      </c>
      <c r="G78" s="63" t="s">
        <v>110</v>
      </c>
      <c r="H78" s="63"/>
      <c r="I78" s="63"/>
      <c r="J78" s="63"/>
      <c r="K78" s="63"/>
      <c r="L78" s="63"/>
      <c r="M78" s="63"/>
      <c r="N78" s="63"/>
      <c r="O78" s="63"/>
      <c r="P78" s="56"/>
    </row>
    <row r="79" spans="1:17" ht="44.25" customHeight="1" x14ac:dyDescent="0.25">
      <c r="A79" s="37"/>
      <c r="B79" s="56"/>
      <c r="C79" s="65"/>
      <c r="D79" s="65"/>
      <c r="E79" s="65"/>
      <c r="F79" s="65"/>
      <c r="G79" s="64" t="s">
        <v>111</v>
      </c>
      <c r="H79" s="64"/>
      <c r="I79" s="64"/>
      <c r="J79" s="64"/>
      <c r="K79" s="64"/>
      <c r="L79" s="64"/>
      <c r="M79" s="64"/>
      <c r="N79" s="64"/>
      <c r="O79" s="64"/>
      <c r="P79" s="61"/>
      <c r="Q79" s="61"/>
    </row>
    <row r="80" spans="1:17" ht="44.25" customHeight="1" x14ac:dyDescent="0.25">
      <c r="A80" s="37"/>
      <c r="B80" s="56"/>
      <c r="C80" s="65"/>
      <c r="D80" s="65"/>
      <c r="E80" s="100"/>
      <c r="F80" s="65"/>
      <c r="G80" s="72"/>
      <c r="H80" s="72"/>
      <c r="I80" s="72"/>
      <c r="J80" s="72"/>
      <c r="K80" s="72"/>
      <c r="L80" s="72"/>
      <c r="M80" s="72"/>
      <c r="N80" s="72"/>
      <c r="O80" s="72"/>
      <c r="P80" s="72"/>
      <c r="Q80" s="76"/>
    </row>
    <row r="81" spans="1:16" ht="29.25" customHeight="1" x14ac:dyDescent="0.25">
      <c r="A81" s="37"/>
      <c r="B81" s="56"/>
      <c r="C81" s="67"/>
      <c r="D81" s="65"/>
      <c r="E81" s="67"/>
      <c r="F81" s="67"/>
      <c r="G81" s="64"/>
      <c r="H81" s="63"/>
      <c r="I81" s="63"/>
      <c r="J81" s="63"/>
      <c r="K81" s="63"/>
      <c r="L81" s="63"/>
      <c r="M81" s="63"/>
      <c r="N81" s="63"/>
      <c r="O81" s="63"/>
      <c r="P81" s="56"/>
    </row>
    <row r="82" spans="1:16" ht="15" x14ac:dyDescent="0.25">
      <c r="A82" s="37"/>
      <c r="B82" s="56"/>
      <c r="C82" s="230" t="s">
        <v>69</v>
      </c>
      <c r="D82" s="230"/>
      <c r="E82" s="230"/>
      <c r="F82" s="230"/>
      <c r="G82" s="230"/>
      <c r="H82" s="230"/>
      <c r="I82" s="230"/>
      <c r="J82" s="230"/>
      <c r="K82" s="230"/>
      <c r="L82" s="230"/>
      <c r="M82" s="230"/>
      <c r="N82" s="230"/>
      <c r="O82" s="230"/>
      <c r="P82" s="56"/>
    </row>
    <row r="83" spans="1:16" ht="15" x14ac:dyDescent="0.25">
      <c r="A83" s="37"/>
      <c r="B83" s="56"/>
      <c r="C83" s="230"/>
      <c r="D83" s="230"/>
      <c r="E83" s="230"/>
      <c r="F83" s="230"/>
      <c r="G83" s="230"/>
      <c r="H83" s="230"/>
      <c r="I83" s="230"/>
      <c r="J83" s="230"/>
      <c r="K83" s="230"/>
      <c r="L83" s="230"/>
      <c r="M83" s="230"/>
      <c r="N83" s="230"/>
      <c r="O83" s="230"/>
      <c r="P83" s="56"/>
    </row>
    <row r="84" spans="1:16" ht="15" x14ac:dyDescent="0.25">
      <c r="A84" s="37"/>
      <c r="B84" s="56"/>
      <c r="C84" s="230"/>
      <c r="D84" s="230"/>
      <c r="E84" s="230"/>
      <c r="F84" s="230"/>
      <c r="G84" s="230"/>
      <c r="H84" s="230"/>
      <c r="I84" s="230"/>
      <c r="J84" s="230"/>
      <c r="K84" s="230"/>
      <c r="L84" s="230"/>
      <c r="M84" s="230"/>
      <c r="N84" s="230"/>
      <c r="O84" s="230"/>
      <c r="P84" s="56"/>
    </row>
    <row r="85" spans="1:16" ht="27" customHeight="1" x14ac:dyDescent="0.25">
      <c r="A85" s="37"/>
      <c r="B85" s="56"/>
      <c r="C85" s="230"/>
      <c r="D85" s="230"/>
      <c r="E85" s="230"/>
      <c r="F85" s="230"/>
      <c r="G85" s="230"/>
      <c r="H85" s="230"/>
      <c r="I85" s="230"/>
      <c r="J85" s="230"/>
      <c r="K85" s="230"/>
      <c r="L85" s="230"/>
      <c r="M85" s="230"/>
      <c r="N85" s="230"/>
      <c r="O85" s="230"/>
      <c r="P85" s="56"/>
    </row>
    <row r="86" spans="1:16" ht="15" x14ac:dyDescent="0.25">
      <c r="A86" s="37"/>
      <c r="B86" s="56"/>
      <c r="C86" s="231" t="s">
        <v>70</v>
      </c>
      <c r="D86" s="231"/>
      <c r="E86" s="231"/>
      <c r="F86" s="231"/>
      <c r="G86" s="231"/>
      <c r="H86" s="231"/>
      <c r="I86" s="231"/>
      <c r="J86" s="231"/>
      <c r="K86" s="231"/>
      <c r="L86" s="231"/>
      <c r="M86" s="231"/>
      <c r="N86" s="231"/>
      <c r="O86" s="231"/>
      <c r="P86" s="56"/>
    </row>
    <row r="87" spans="1:16" ht="15" x14ac:dyDescent="0.25">
      <c r="A87" s="37"/>
      <c r="B87" s="56"/>
      <c r="C87" s="231"/>
      <c r="D87" s="231"/>
      <c r="E87" s="231"/>
      <c r="F87" s="231"/>
      <c r="G87" s="231"/>
      <c r="H87" s="231"/>
      <c r="I87" s="231"/>
      <c r="J87" s="231"/>
      <c r="K87" s="231"/>
      <c r="L87" s="231"/>
      <c r="M87" s="231"/>
      <c r="N87" s="231"/>
      <c r="O87" s="231"/>
      <c r="P87" s="56"/>
    </row>
    <row r="88" spans="1:16" ht="15" x14ac:dyDescent="0.25">
      <c r="A88" s="37"/>
      <c r="B88" s="56"/>
      <c r="C88" s="231"/>
      <c r="D88" s="231"/>
      <c r="E88" s="231"/>
      <c r="F88" s="231"/>
      <c r="G88" s="231"/>
      <c r="H88" s="231"/>
      <c r="I88" s="231"/>
      <c r="J88" s="231"/>
      <c r="K88" s="231"/>
      <c r="L88" s="231"/>
      <c r="M88" s="231"/>
      <c r="N88" s="231"/>
      <c r="O88" s="231"/>
      <c r="P88" s="56"/>
    </row>
    <row r="89" spans="1:16" x14ac:dyDescent="0.25">
      <c r="A89" s="37"/>
      <c r="B89" s="56"/>
      <c r="C89" s="57"/>
      <c r="D89" s="56"/>
      <c r="E89" s="56"/>
      <c r="F89" s="56"/>
      <c r="G89" s="56"/>
      <c r="H89" s="57"/>
      <c r="I89" s="56"/>
      <c r="J89" s="57"/>
      <c r="K89" s="56"/>
      <c r="L89" s="57"/>
      <c r="M89" s="56"/>
      <c r="N89" s="57"/>
      <c r="O89" s="56"/>
      <c r="P89" s="56"/>
    </row>
    <row r="90" spans="1:16" x14ac:dyDescent="0.25">
      <c r="A90" s="37"/>
      <c r="B90" s="56"/>
      <c r="C90" s="57"/>
      <c r="D90" s="56"/>
      <c r="E90" s="56"/>
      <c r="F90" s="56"/>
      <c r="G90" s="56"/>
      <c r="H90" s="57"/>
      <c r="I90" s="56"/>
      <c r="J90" s="57"/>
      <c r="K90" s="56"/>
      <c r="L90" s="57"/>
      <c r="M90" s="56"/>
      <c r="N90" s="57"/>
      <c r="O90" s="56"/>
      <c r="P90" s="56"/>
    </row>
  </sheetData>
  <mergeCells count="70">
    <mergeCell ref="C86:O88"/>
    <mergeCell ref="C34:G34"/>
    <mergeCell ref="H34:K34"/>
    <mergeCell ref="L34:O34"/>
    <mergeCell ref="C35:G35"/>
    <mergeCell ref="H35:K35"/>
    <mergeCell ref="L35:O35"/>
    <mergeCell ref="C33:G33"/>
    <mergeCell ref="H33:K33"/>
    <mergeCell ref="L33:O33"/>
    <mergeCell ref="C42:O42"/>
    <mergeCell ref="C82:O85"/>
    <mergeCell ref="C40:G40"/>
    <mergeCell ref="H40:K40"/>
    <mergeCell ref="L40:O40"/>
    <mergeCell ref="C37:O37"/>
    <mergeCell ref="C38:G38"/>
    <mergeCell ref="H38:K38"/>
    <mergeCell ref="L38:O38"/>
    <mergeCell ref="C39:G39"/>
    <mergeCell ref="H39:K39"/>
    <mergeCell ref="L39:O39"/>
    <mergeCell ref="C30:O30"/>
    <mergeCell ref="C31:G31"/>
    <mergeCell ref="H31:K31"/>
    <mergeCell ref="L31:O31"/>
    <mergeCell ref="C32:G32"/>
    <mergeCell ref="H32:K32"/>
    <mergeCell ref="L32:O32"/>
    <mergeCell ref="C20:G20"/>
    <mergeCell ref="H20:K20"/>
    <mergeCell ref="L20:O20"/>
    <mergeCell ref="C21:G21"/>
    <mergeCell ref="H21:K21"/>
    <mergeCell ref="L21:O21"/>
    <mergeCell ref="C17:O17"/>
    <mergeCell ref="C18:G18"/>
    <mergeCell ref="H18:K18"/>
    <mergeCell ref="L18:O18"/>
    <mergeCell ref="C19:G19"/>
    <mergeCell ref="H19:K19"/>
    <mergeCell ref="L19:O19"/>
    <mergeCell ref="C15:O15"/>
    <mergeCell ref="C3:O3"/>
    <mergeCell ref="C5:O5"/>
    <mergeCell ref="C7:O7"/>
    <mergeCell ref="C11:O11"/>
    <mergeCell ref="C13:O13"/>
    <mergeCell ref="C9:O9"/>
    <mergeCell ref="C22:G22"/>
    <mergeCell ref="H22:K22"/>
    <mergeCell ref="L22:O22"/>
    <mergeCell ref="C25:G25"/>
    <mergeCell ref="H25:K25"/>
    <mergeCell ref="L25:O25"/>
    <mergeCell ref="C28:G28"/>
    <mergeCell ref="H28:K28"/>
    <mergeCell ref="L28:O28"/>
    <mergeCell ref="C23:G23"/>
    <mergeCell ref="H23:K23"/>
    <mergeCell ref="L23:O23"/>
    <mergeCell ref="C26:G26"/>
    <mergeCell ref="H26:K26"/>
    <mergeCell ref="L26:O26"/>
    <mergeCell ref="C24:G24"/>
    <mergeCell ref="H24:K24"/>
    <mergeCell ref="L24:O24"/>
    <mergeCell ref="C27:G27"/>
    <mergeCell ref="H27:K27"/>
    <mergeCell ref="L27:O27"/>
  </mergeCells>
  <pageMargins left="0.511811024" right="0.511811024" top="0.78740157499999996" bottom="0.78740157499999996" header="0.31496062000000002" footer="0.31496062000000002"/>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BA1EB-73C3-406F-99EF-A5A8E5422851}">
  <sheetPr>
    <pageSetUpPr fitToPage="1"/>
  </sheetPr>
  <dimension ref="A1:Z89"/>
  <sheetViews>
    <sheetView showGridLines="0" topLeftCell="A51" zoomScale="40" zoomScaleNormal="40" workbookViewId="0">
      <selection activeCell="A2" sqref="A2:S81"/>
    </sheetView>
  </sheetViews>
  <sheetFormatPr defaultRowHeight="15.75" x14ac:dyDescent="0.25"/>
  <cols>
    <col min="1" max="1" width="6.7109375" customWidth="1"/>
    <col min="2" max="2" width="7.5703125" customWidth="1"/>
    <col min="3" max="3" width="24.5703125" style="44" customWidth="1"/>
    <col min="4" max="4" width="22.42578125" customWidth="1"/>
    <col min="5" max="5" width="47.5703125" customWidth="1"/>
    <col min="6" max="7" width="16.5703125" style="44" customWidth="1"/>
    <col min="8" max="8" width="7.42578125" customWidth="1"/>
    <col min="9" max="9" width="16.5703125" style="44" customWidth="1"/>
    <col min="10" max="10" width="16" customWidth="1"/>
    <col min="11" max="11" width="16.5703125" style="44" customWidth="1"/>
    <col min="12" max="12" width="11" customWidth="1"/>
    <col min="13" max="14" width="7.42578125" customWidth="1"/>
    <col min="15" max="15" width="14.28515625" customWidth="1"/>
    <col min="16" max="16" width="16.5703125" style="44" customWidth="1"/>
    <col min="17" max="17" width="19.5703125" customWidth="1"/>
    <col min="18" max="18" width="25.28515625" customWidth="1"/>
    <col min="19" max="19" width="27.7109375" customWidth="1"/>
  </cols>
  <sheetData>
    <row r="1" spans="1:19" x14ac:dyDescent="0.25">
      <c r="A1" s="37"/>
      <c r="C1" s="38"/>
      <c r="F1" s="38"/>
      <c r="G1" s="38"/>
      <c r="I1" s="38"/>
      <c r="K1" s="38"/>
      <c r="P1" s="38"/>
    </row>
    <row r="2" spans="1:19" ht="68.25" customHeight="1" x14ac:dyDescent="0.25">
      <c r="A2" s="37"/>
      <c r="C2" s="38"/>
      <c r="F2" s="38"/>
      <c r="G2" s="38"/>
      <c r="I2" s="38"/>
      <c r="K2" s="38"/>
      <c r="P2" s="38"/>
    </row>
    <row r="3" spans="1:19" ht="51.75" customHeight="1" x14ac:dyDescent="0.7">
      <c r="A3" s="37"/>
      <c r="C3" s="186" t="s">
        <v>11</v>
      </c>
      <c r="D3" s="186"/>
      <c r="E3" s="186"/>
      <c r="F3" s="186"/>
      <c r="G3" s="186"/>
      <c r="H3" s="186"/>
      <c r="I3" s="186"/>
      <c r="J3" s="186"/>
      <c r="K3" s="186"/>
      <c r="L3" s="186"/>
      <c r="M3" s="186"/>
      <c r="N3" s="186"/>
      <c r="O3" s="186"/>
      <c r="P3" s="186"/>
      <c r="Q3" s="186"/>
    </row>
    <row r="4" spans="1:19" ht="30" customHeight="1" x14ac:dyDescent="0.7">
      <c r="A4" s="37"/>
      <c r="C4" s="39"/>
      <c r="D4" s="40"/>
      <c r="E4" s="40"/>
      <c r="F4" s="39"/>
      <c r="G4" s="39"/>
      <c r="H4" s="40"/>
      <c r="I4" s="39"/>
      <c r="J4" s="40"/>
      <c r="K4" s="39"/>
      <c r="L4" s="40"/>
      <c r="M4" s="40"/>
      <c r="N4" s="40"/>
      <c r="O4" s="40"/>
      <c r="P4" s="39"/>
      <c r="Q4" s="40"/>
    </row>
    <row r="5" spans="1:19" s="47" customFormat="1" ht="69.95" customHeight="1" thickBot="1" x14ac:dyDescent="0.3">
      <c r="A5" s="46"/>
      <c r="C5" s="223" t="s">
        <v>12</v>
      </c>
      <c r="D5" s="223"/>
      <c r="E5" s="223"/>
      <c r="F5" s="175" t="s">
        <v>13</v>
      </c>
      <c r="G5" s="175"/>
      <c r="H5" s="175"/>
      <c r="I5" s="162" t="s">
        <v>14</v>
      </c>
      <c r="J5" s="162"/>
      <c r="K5" s="162" t="s">
        <v>15</v>
      </c>
      <c r="L5" s="162"/>
      <c r="M5" s="162" t="s">
        <v>16</v>
      </c>
      <c r="N5" s="162"/>
      <c r="O5" s="162"/>
      <c r="P5" s="162" t="s">
        <v>17</v>
      </c>
      <c r="Q5" s="162"/>
      <c r="R5" s="162" t="s">
        <v>18</v>
      </c>
      <c r="S5" s="162"/>
    </row>
    <row r="6" spans="1:19" ht="50.1" hidden="1" customHeight="1" x14ac:dyDescent="0.25">
      <c r="A6" s="37"/>
      <c r="C6" s="153" t="s">
        <v>114</v>
      </c>
      <c r="D6" s="153"/>
      <c r="E6" s="153"/>
      <c r="F6" s="156"/>
      <c r="G6" s="156"/>
      <c r="H6" s="156"/>
      <c r="I6" s="153">
        <v>35</v>
      </c>
      <c r="J6" s="153"/>
      <c r="K6" s="153" t="s">
        <v>19</v>
      </c>
      <c r="L6" s="153"/>
      <c r="M6" s="153" t="s">
        <v>120</v>
      </c>
      <c r="N6" s="153"/>
      <c r="O6" s="153"/>
      <c r="P6" s="159" t="s">
        <v>20</v>
      </c>
      <c r="Q6" s="159"/>
      <c r="R6" s="153" t="s">
        <v>20</v>
      </c>
      <c r="S6" s="153"/>
    </row>
    <row r="7" spans="1:19" ht="50.1" customHeight="1" x14ac:dyDescent="0.25">
      <c r="A7" s="37"/>
      <c r="C7" s="153" t="s">
        <v>128</v>
      </c>
      <c r="D7" s="153"/>
      <c r="E7" s="153"/>
      <c r="F7" s="156" t="s">
        <v>131</v>
      </c>
      <c r="G7" s="156"/>
      <c r="H7" s="156"/>
      <c r="I7" s="153">
        <v>43</v>
      </c>
      <c r="J7" s="153"/>
      <c r="K7" s="153" t="s">
        <v>19</v>
      </c>
      <c r="L7" s="153"/>
      <c r="M7" s="153" t="s">
        <v>124</v>
      </c>
      <c r="N7" s="153"/>
      <c r="O7" s="153"/>
      <c r="P7" s="159" t="s">
        <v>20</v>
      </c>
      <c r="Q7" s="159"/>
      <c r="R7" s="159" t="s">
        <v>20</v>
      </c>
      <c r="S7" s="159"/>
    </row>
    <row r="8" spans="1:19" ht="50.1" customHeight="1" x14ac:dyDescent="0.25">
      <c r="A8" s="37"/>
      <c r="C8" s="163" t="s">
        <v>135</v>
      </c>
      <c r="D8" s="163"/>
      <c r="E8" s="163"/>
      <c r="F8" s="156" t="s">
        <v>136</v>
      </c>
      <c r="G8" s="156"/>
      <c r="H8" s="156"/>
      <c r="I8" s="153">
        <v>41</v>
      </c>
      <c r="J8" s="153"/>
      <c r="K8" s="153" t="s">
        <v>19</v>
      </c>
      <c r="L8" s="153"/>
      <c r="M8" s="159" t="s">
        <v>124</v>
      </c>
      <c r="N8" s="159"/>
      <c r="O8" s="159"/>
      <c r="P8" s="159" t="s">
        <v>20</v>
      </c>
      <c r="Q8" s="159"/>
      <c r="R8" s="159" t="s">
        <v>20</v>
      </c>
      <c r="S8" s="159"/>
    </row>
    <row r="9" spans="1:19" ht="50.1" customHeight="1" x14ac:dyDescent="0.25">
      <c r="A9" s="37"/>
      <c r="C9" s="153" t="s">
        <v>143</v>
      </c>
      <c r="D9" s="153"/>
      <c r="E9" s="153"/>
      <c r="F9" s="156" t="s">
        <v>132</v>
      </c>
      <c r="G9" s="156"/>
      <c r="H9" s="156"/>
      <c r="I9" s="153">
        <v>41</v>
      </c>
      <c r="J9" s="153"/>
      <c r="K9" s="153" t="s">
        <v>19</v>
      </c>
      <c r="L9" s="153"/>
      <c r="M9" s="153" t="s">
        <v>123</v>
      </c>
      <c r="N9" s="153"/>
      <c r="O9" s="153"/>
      <c r="P9" s="159" t="s">
        <v>20</v>
      </c>
      <c r="Q9" s="159"/>
      <c r="R9" s="159" t="s">
        <v>20</v>
      </c>
      <c r="S9" s="159"/>
    </row>
    <row r="10" spans="1:19" ht="49.5" customHeight="1" x14ac:dyDescent="0.25">
      <c r="A10" s="37"/>
      <c r="C10" s="153" t="s">
        <v>138</v>
      </c>
      <c r="D10" s="153"/>
      <c r="E10" s="153"/>
      <c r="F10" s="156" t="s">
        <v>139</v>
      </c>
      <c r="G10" s="156"/>
      <c r="H10" s="156"/>
      <c r="I10" s="153">
        <v>36</v>
      </c>
      <c r="J10" s="153"/>
      <c r="K10" s="163" t="s">
        <v>126</v>
      </c>
      <c r="L10" s="163"/>
      <c r="M10" s="153" t="s">
        <v>122</v>
      </c>
      <c r="N10" s="153"/>
      <c r="O10" s="153"/>
      <c r="P10" s="159" t="s">
        <v>20</v>
      </c>
      <c r="Q10" s="159"/>
      <c r="R10" s="153" t="s">
        <v>20</v>
      </c>
      <c r="S10" s="153"/>
    </row>
    <row r="11" spans="1:19" ht="50.1" customHeight="1" x14ac:dyDescent="0.25">
      <c r="A11" s="37"/>
      <c r="C11" s="153" t="s">
        <v>201</v>
      </c>
      <c r="D11" s="154"/>
      <c r="E11" s="155"/>
      <c r="F11" s="156" t="s">
        <v>216</v>
      </c>
      <c r="G11" s="157"/>
      <c r="H11" s="158"/>
      <c r="I11" s="153">
        <v>41</v>
      </c>
      <c r="J11" s="155"/>
      <c r="K11" s="153" t="s">
        <v>19</v>
      </c>
      <c r="L11" s="155"/>
      <c r="M11" s="153" t="s">
        <v>119</v>
      </c>
      <c r="N11" s="154"/>
      <c r="O11" s="155"/>
      <c r="P11" s="159" t="s">
        <v>20</v>
      </c>
      <c r="Q11" s="160"/>
      <c r="R11" s="153" t="s">
        <v>20</v>
      </c>
      <c r="S11" s="154"/>
    </row>
    <row r="12" spans="1:19" ht="49.5" customHeight="1" x14ac:dyDescent="0.25">
      <c r="A12" s="37"/>
      <c r="C12" s="153" t="s">
        <v>213</v>
      </c>
      <c r="D12" s="154"/>
      <c r="E12" s="155"/>
      <c r="F12" s="156" t="s">
        <v>214</v>
      </c>
      <c r="G12" s="157"/>
      <c r="H12" s="158"/>
      <c r="I12" s="159" t="s">
        <v>20</v>
      </c>
      <c r="J12" s="160"/>
      <c r="K12" s="159" t="s">
        <v>20</v>
      </c>
      <c r="L12" s="160"/>
      <c r="M12" s="161" t="s">
        <v>20</v>
      </c>
      <c r="N12" s="161"/>
      <c r="O12" s="161"/>
      <c r="P12" s="159" t="s">
        <v>20</v>
      </c>
      <c r="Q12" s="160"/>
      <c r="R12" s="159" t="s">
        <v>20</v>
      </c>
      <c r="S12" s="160"/>
    </row>
    <row r="13" spans="1:19" ht="50.1" customHeight="1" x14ac:dyDescent="0.25">
      <c r="A13" s="37"/>
      <c r="C13" s="153" t="s">
        <v>118</v>
      </c>
      <c r="D13" s="154"/>
      <c r="E13" s="155"/>
      <c r="F13" s="156" t="s">
        <v>137</v>
      </c>
      <c r="G13" s="157"/>
      <c r="H13" s="158"/>
      <c r="I13" s="159" t="s">
        <v>20</v>
      </c>
      <c r="J13" s="160"/>
      <c r="K13" s="159" t="s">
        <v>20</v>
      </c>
      <c r="L13" s="160"/>
      <c r="M13" s="161" t="s">
        <v>20</v>
      </c>
      <c r="N13" s="161"/>
      <c r="O13" s="161"/>
      <c r="P13" s="159" t="s">
        <v>20</v>
      </c>
      <c r="Q13" s="160"/>
      <c r="R13" s="159" t="s">
        <v>20</v>
      </c>
      <c r="S13" s="160"/>
    </row>
    <row r="14" spans="1:19" ht="50.1" customHeight="1" x14ac:dyDescent="0.25">
      <c r="A14" s="37"/>
      <c r="C14" s="153" t="s">
        <v>148</v>
      </c>
      <c r="D14" s="154"/>
      <c r="E14" s="155"/>
      <c r="F14" s="156" t="s">
        <v>151</v>
      </c>
      <c r="G14" s="157"/>
      <c r="H14" s="158"/>
      <c r="I14" s="153" t="s">
        <v>20</v>
      </c>
      <c r="J14" s="155"/>
      <c r="K14" s="153" t="s">
        <v>19</v>
      </c>
      <c r="L14" s="155"/>
      <c r="M14" s="153" t="s">
        <v>119</v>
      </c>
      <c r="N14" s="154"/>
      <c r="O14" s="155"/>
      <c r="P14" s="159" t="s">
        <v>20</v>
      </c>
      <c r="Q14" s="160"/>
      <c r="R14" s="153" t="s">
        <v>20</v>
      </c>
      <c r="S14" s="154"/>
    </row>
    <row r="15" spans="1:19" ht="49.5" customHeight="1" x14ac:dyDescent="0.25">
      <c r="A15" s="37"/>
      <c r="C15" s="153" t="s">
        <v>149</v>
      </c>
      <c r="D15" s="154"/>
      <c r="E15" s="155"/>
      <c r="F15" s="156" t="s">
        <v>150</v>
      </c>
      <c r="G15" s="157"/>
      <c r="H15" s="158"/>
      <c r="I15" s="159" t="s">
        <v>20</v>
      </c>
      <c r="J15" s="160"/>
      <c r="K15" s="159" t="s">
        <v>20</v>
      </c>
      <c r="L15" s="160"/>
      <c r="M15" s="161" t="s">
        <v>20</v>
      </c>
      <c r="N15" s="161"/>
      <c r="O15" s="161"/>
      <c r="P15" s="159" t="s">
        <v>20</v>
      </c>
      <c r="Q15" s="160"/>
      <c r="R15" s="159" t="s">
        <v>20</v>
      </c>
      <c r="S15" s="160"/>
    </row>
    <row r="16" spans="1:19" ht="50.1" customHeight="1" x14ac:dyDescent="0.25">
      <c r="A16" s="37"/>
      <c r="C16" s="153" t="s">
        <v>200</v>
      </c>
      <c r="D16" s="154"/>
      <c r="E16" s="155"/>
      <c r="F16" s="156" t="s">
        <v>215</v>
      </c>
      <c r="G16" s="157"/>
      <c r="H16" s="158"/>
      <c r="I16" s="159" t="s">
        <v>20</v>
      </c>
      <c r="J16" s="160"/>
      <c r="K16" s="159" t="s">
        <v>20</v>
      </c>
      <c r="L16" s="160"/>
      <c r="M16" s="161" t="s">
        <v>20</v>
      </c>
      <c r="N16" s="161"/>
      <c r="O16" s="161"/>
      <c r="P16" s="159" t="s">
        <v>20</v>
      </c>
      <c r="Q16" s="160"/>
      <c r="R16" s="159" t="s">
        <v>20</v>
      </c>
      <c r="S16" s="160"/>
    </row>
    <row r="17" spans="1:19" ht="30" customHeight="1" x14ac:dyDescent="0.7">
      <c r="A17" s="37"/>
      <c r="C17" s="39"/>
      <c r="D17" s="40"/>
      <c r="E17" s="40"/>
      <c r="F17" s="39"/>
      <c r="G17" s="39"/>
      <c r="H17" s="40"/>
      <c r="I17" s="39"/>
      <c r="J17" s="40"/>
      <c r="K17" s="39"/>
      <c r="L17" s="40"/>
      <c r="M17" s="40"/>
      <c r="N17" s="40"/>
      <c r="O17" s="40"/>
      <c r="P17" s="39"/>
      <c r="Q17" s="40"/>
    </row>
    <row r="18" spans="1:19" ht="50.1" hidden="1" customHeight="1" x14ac:dyDescent="0.7">
      <c r="A18" s="37"/>
      <c r="C18" s="186" t="s">
        <v>21</v>
      </c>
      <c r="D18" s="186"/>
      <c r="E18" s="186"/>
      <c r="F18" s="186"/>
      <c r="G18" s="186"/>
      <c r="H18" s="186"/>
      <c r="I18" s="186"/>
      <c r="J18" s="186"/>
      <c r="K18" s="186"/>
      <c r="L18" s="186"/>
      <c r="M18" s="186"/>
      <c r="N18" s="186"/>
      <c r="O18" s="186"/>
      <c r="P18" s="186"/>
      <c r="Q18" s="186"/>
    </row>
    <row r="19" spans="1:19" ht="30" hidden="1" customHeight="1" x14ac:dyDescent="0.7">
      <c r="A19" s="37"/>
      <c r="C19" s="48"/>
      <c r="D19" s="48"/>
      <c r="E19" s="48"/>
      <c r="F19" s="48"/>
      <c r="G19" s="48"/>
      <c r="H19" s="48"/>
      <c r="I19" s="48"/>
      <c r="J19" s="48"/>
      <c r="K19" s="48"/>
      <c r="L19" s="48"/>
      <c r="M19" s="48"/>
      <c r="N19" s="48"/>
      <c r="O19" s="48"/>
      <c r="P19" s="48"/>
      <c r="Q19" s="48"/>
    </row>
    <row r="20" spans="1:19" s="47" customFormat="1" ht="69.95" hidden="1" customHeight="1" thickBot="1" x14ac:dyDescent="0.3">
      <c r="A20" s="46"/>
      <c r="C20" s="223" t="s">
        <v>12</v>
      </c>
      <c r="D20" s="223"/>
      <c r="E20" s="223"/>
      <c r="F20" s="175" t="s">
        <v>13</v>
      </c>
      <c r="G20" s="176"/>
      <c r="H20" s="225"/>
      <c r="I20" s="162" t="s">
        <v>14</v>
      </c>
      <c r="J20" s="224"/>
      <c r="K20" s="162" t="s">
        <v>15</v>
      </c>
      <c r="L20" s="224"/>
      <c r="M20" s="162" t="s">
        <v>140</v>
      </c>
      <c r="N20" s="226"/>
      <c r="O20" s="224"/>
      <c r="P20" s="162" t="s">
        <v>17</v>
      </c>
      <c r="Q20" s="224"/>
      <c r="R20" s="162" t="s">
        <v>18</v>
      </c>
      <c r="S20" s="224"/>
    </row>
    <row r="21" spans="1:19" ht="50.1" hidden="1" customHeight="1" x14ac:dyDescent="0.25">
      <c r="A21" s="37"/>
      <c r="C21" s="204" t="s">
        <v>121</v>
      </c>
      <c r="D21" s="205"/>
      <c r="E21" s="206"/>
      <c r="F21" s="207" t="s">
        <v>141</v>
      </c>
      <c r="G21" s="208"/>
      <c r="H21" s="209"/>
      <c r="I21" s="153" t="s">
        <v>20</v>
      </c>
      <c r="J21" s="155"/>
      <c r="K21" s="153" t="s">
        <v>20</v>
      </c>
      <c r="L21" s="155"/>
      <c r="M21" s="210">
        <v>85</v>
      </c>
      <c r="N21" s="211"/>
      <c r="O21" s="212"/>
      <c r="P21" s="163" t="s">
        <v>20</v>
      </c>
      <c r="Q21" s="214"/>
      <c r="R21" s="153" t="s">
        <v>20</v>
      </c>
      <c r="S21" s="154"/>
    </row>
    <row r="22" spans="1:19" ht="50.1" hidden="1" customHeight="1" thickBot="1" x14ac:dyDescent="0.3">
      <c r="A22" s="37"/>
      <c r="C22" s="159" t="s">
        <v>133</v>
      </c>
      <c r="D22" s="215"/>
      <c r="E22" s="160"/>
      <c r="F22" s="207" t="s">
        <v>134</v>
      </c>
      <c r="G22" s="216"/>
      <c r="H22" s="217"/>
      <c r="I22" s="159" t="s">
        <v>125</v>
      </c>
      <c r="J22" s="160"/>
      <c r="K22" s="159" t="s">
        <v>20</v>
      </c>
      <c r="L22" s="160"/>
      <c r="M22" s="218">
        <v>52</v>
      </c>
      <c r="N22" s="219"/>
      <c r="O22" s="220"/>
      <c r="P22" s="153" t="s">
        <v>20</v>
      </c>
      <c r="Q22" s="155"/>
      <c r="R22" s="153" t="s">
        <v>20</v>
      </c>
      <c r="S22" s="154"/>
    </row>
    <row r="23" spans="1:19" ht="50.1" hidden="1" customHeight="1" x14ac:dyDescent="0.25">
      <c r="A23" s="37"/>
      <c r="C23" s="153" t="s">
        <v>114</v>
      </c>
      <c r="D23" s="154"/>
      <c r="E23" s="155"/>
      <c r="F23" s="156" t="s">
        <v>144</v>
      </c>
      <c r="G23" s="157"/>
      <c r="H23" s="158"/>
      <c r="I23" s="153" t="s">
        <v>20</v>
      </c>
      <c r="J23" s="155"/>
      <c r="K23" s="221" t="s">
        <v>20</v>
      </c>
      <c r="L23" s="222"/>
      <c r="M23" s="204" t="s">
        <v>20</v>
      </c>
      <c r="N23" s="205"/>
      <c r="O23" s="206"/>
      <c r="P23" s="159" t="s">
        <v>20</v>
      </c>
      <c r="Q23" s="160"/>
      <c r="R23" s="153" t="s">
        <v>20</v>
      </c>
      <c r="S23" s="154"/>
    </row>
    <row r="24" spans="1:19" ht="30" customHeight="1" x14ac:dyDescent="0.25">
      <c r="A24" s="37"/>
      <c r="C24" s="38"/>
      <c r="F24" s="38"/>
      <c r="G24" s="38"/>
      <c r="I24" s="38"/>
      <c r="K24" s="38"/>
      <c r="P24" s="38"/>
    </row>
    <row r="25" spans="1:19" ht="50.1" customHeight="1" x14ac:dyDescent="0.7">
      <c r="A25" s="37"/>
      <c r="C25" s="186" t="s">
        <v>22</v>
      </c>
      <c r="D25" s="186"/>
      <c r="E25" s="186"/>
      <c r="F25" s="186"/>
      <c r="G25" s="186"/>
      <c r="H25" s="186"/>
      <c r="I25" s="186"/>
      <c r="J25" s="186"/>
      <c r="K25" s="186"/>
      <c r="L25" s="186"/>
      <c r="M25" s="186"/>
      <c r="N25" s="186"/>
      <c r="O25" s="186"/>
      <c r="P25" s="186"/>
      <c r="Q25" s="186"/>
    </row>
    <row r="26" spans="1:19" ht="24.75" customHeight="1" x14ac:dyDescent="0.7">
      <c r="A26" s="37"/>
      <c r="C26" s="45"/>
      <c r="D26" s="45"/>
      <c r="E26" s="45"/>
      <c r="F26" s="45"/>
      <c r="G26" s="45"/>
      <c r="H26" s="45"/>
      <c r="I26" s="45"/>
      <c r="J26" s="45"/>
      <c r="K26" s="45"/>
      <c r="L26" s="45"/>
      <c r="M26" s="45"/>
      <c r="N26" s="45"/>
      <c r="O26" s="45"/>
      <c r="P26" s="45"/>
      <c r="Q26" s="45"/>
    </row>
    <row r="27" spans="1:19" ht="42" x14ac:dyDescent="0.65">
      <c r="A27" s="37"/>
      <c r="C27" s="213" t="s">
        <v>185</v>
      </c>
      <c r="D27" s="213"/>
      <c r="E27" s="213"/>
      <c r="F27" s="213"/>
      <c r="G27" s="213"/>
      <c r="H27" s="213"/>
      <c r="I27" s="213"/>
      <c r="J27" s="213"/>
      <c r="K27" s="213"/>
      <c r="L27" s="213"/>
      <c r="M27" s="213"/>
      <c r="N27" s="213"/>
      <c r="O27" s="213"/>
      <c r="P27" s="213"/>
    </row>
    <row r="28" spans="1:19" ht="42" x14ac:dyDescent="0.65">
      <c r="A28" s="37"/>
      <c r="C28" s="49"/>
      <c r="D28" s="49"/>
      <c r="E28" s="49"/>
      <c r="F28" s="49"/>
      <c r="G28" s="49"/>
      <c r="H28" s="49"/>
      <c r="I28" s="49"/>
      <c r="J28" s="49"/>
      <c r="K28" s="49"/>
      <c r="L28" s="49"/>
      <c r="M28" s="49"/>
      <c r="N28" s="49"/>
      <c r="O28" s="49"/>
      <c r="P28" s="49"/>
    </row>
    <row r="29" spans="1:19" ht="50.1" customHeight="1" x14ac:dyDescent="0.7">
      <c r="A29" s="37"/>
      <c r="C29" s="186" t="s">
        <v>23</v>
      </c>
      <c r="D29" s="186"/>
      <c r="E29" s="186"/>
      <c r="F29" s="186"/>
      <c r="G29" s="186"/>
      <c r="H29" s="186"/>
      <c r="I29" s="186"/>
      <c r="J29" s="186"/>
      <c r="K29" s="186"/>
      <c r="L29" s="186"/>
      <c r="M29" s="186"/>
      <c r="N29" s="186"/>
      <c r="O29" s="186"/>
      <c r="P29" s="186"/>
      <c r="Q29" s="186"/>
    </row>
    <row r="30" spans="1:19" ht="30" customHeight="1" x14ac:dyDescent="0.7">
      <c r="A30" s="37"/>
      <c r="C30" s="45"/>
      <c r="D30" s="45"/>
      <c r="E30" s="45"/>
      <c r="F30" s="45"/>
      <c r="G30" s="45"/>
      <c r="H30" s="45"/>
      <c r="I30" s="45"/>
      <c r="J30" s="45"/>
      <c r="K30" s="45"/>
      <c r="L30" s="45"/>
      <c r="M30" s="45"/>
      <c r="N30" s="45"/>
      <c r="O30" s="45"/>
      <c r="P30" s="45"/>
      <c r="Q30" s="45"/>
    </row>
    <row r="31" spans="1:19" s="47" customFormat="1" ht="69.75" customHeight="1" thickBot="1" x14ac:dyDescent="0.3">
      <c r="A31" s="46"/>
      <c r="C31" s="174" t="s">
        <v>24</v>
      </c>
      <c r="D31" s="174"/>
      <c r="E31" s="174"/>
      <c r="F31" s="199" t="s">
        <v>12</v>
      </c>
      <c r="G31" s="200"/>
      <c r="H31" s="200"/>
      <c r="I31" s="200"/>
      <c r="J31" s="200"/>
      <c r="K31" s="200"/>
      <c r="L31" s="201"/>
      <c r="M31" s="202" t="s">
        <v>25</v>
      </c>
      <c r="N31" s="203"/>
      <c r="O31" s="203"/>
      <c r="P31" s="203"/>
      <c r="Q31" s="203"/>
    </row>
    <row r="32" spans="1:19" ht="50.1" customHeight="1" x14ac:dyDescent="0.25">
      <c r="A32" s="37"/>
      <c r="C32" s="188" t="s">
        <v>26</v>
      </c>
      <c r="D32" s="189"/>
      <c r="E32" s="190"/>
      <c r="F32" s="191" t="s">
        <v>189</v>
      </c>
      <c r="G32" s="192"/>
      <c r="H32" s="192"/>
      <c r="I32" s="192"/>
      <c r="J32" s="192"/>
      <c r="K32" s="192"/>
      <c r="L32" s="193"/>
      <c r="M32" s="188" t="s">
        <v>190</v>
      </c>
      <c r="N32" s="189"/>
      <c r="O32" s="189"/>
      <c r="P32" s="189"/>
      <c r="Q32" s="189"/>
    </row>
    <row r="33" spans="1:26" ht="50.1" customHeight="1" x14ac:dyDescent="0.25">
      <c r="A33" s="37"/>
      <c r="C33" s="194" t="s">
        <v>27</v>
      </c>
      <c r="D33" s="195"/>
      <c r="E33" s="196"/>
      <c r="F33" s="197" t="s">
        <v>184</v>
      </c>
      <c r="G33" s="173"/>
      <c r="H33" s="173"/>
      <c r="I33" s="173"/>
      <c r="J33" s="173"/>
      <c r="K33" s="173"/>
      <c r="L33" s="198"/>
      <c r="M33" s="194" t="s">
        <v>186</v>
      </c>
      <c r="N33" s="195"/>
      <c r="O33" s="195"/>
      <c r="P33" s="195"/>
      <c r="Q33" s="195"/>
    </row>
    <row r="34" spans="1:26" ht="50.1" customHeight="1" x14ac:dyDescent="0.25">
      <c r="A34" s="37"/>
      <c r="C34" s="194" t="s">
        <v>28</v>
      </c>
      <c r="D34" s="195"/>
      <c r="E34" s="196"/>
      <c r="F34" s="197" t="s">
        <v>187</v>
      </c>
      <c r="G34" s="173"/>
      <c r="H34" s="173"/>
      <c r="I34" s="173"/>
      <c r="J34" s="173"/>
      <c r="K34" s="173"/>
      <c r="L34" s="198"/>
      <c r="M34" s="194" t="s">
        <v>188</v>
      </c>
      <c r="N34" s="195"/>
      <c r="O34" s="195"/>
      <c r="P34" s="195"/>
      <c r="Q34" s="195"/>
    </row>
    <row r="35" spans="1:26" ht="36" x14ac:dyDescent="0.25">
      <c r="A35" s="37"/>
      <c r="C35" s="41"/>
      <c r="D35" s="41"/>
      <c r="E35" s="164"/>
      <c r="F35" s="165"/>
      <c r="G35" s="165"/>
      <c r="H35" s="165"/>
      <c r="I35" s="165"/>
      <c r="J35" s="165"/>
      <c r="K35" s="165"/>
      <c r="L35" s="165"/>
      <c r="M35" s="165"/>
      <c r="N35" s="165"/>
      <c r="O35" s="165"/>
      <c r="P35" s="165"/>
      <c r="Q35" s="165"/>
    </row>
    <row r="36" spans="1:26" ht="36" customHeight="1" x14ac:dyDescent="0.25">
      <c r="A36" s="37"/>
      <c r="C36" s="41"/>
      <c r="D36" s="41"/>
      <c r="E36" s="164"/>
      <c r="F36" s="165"/>
      <c r="G36" s="165"/>
      <c r="H36" s="165"/>
      <c r="I36" s="165"/>
      <c r="J36" s="165"/>
      <c r="K36" s="165"/>
      <c r="L36" s="165"/>
      <c r="M36" s="165"/>
      <c r="N36" s="165"/>
      <c r="O36" s="165"/>
      <c r="P36" s="165"/>
      <c r="Q36" s="165"/>
    </row>
    <row r="37" spans="1:26" ht="36" x14ac:dyDescent="0.25">
      <c r="A37" s="37"/>
      <c r="C37" s="41"/>
      <c r="D37" s="41"/>
      <c r="E37" s="164"/>
      <c r="F37" s="165"/>
      <c r="G37" s="165"/>
      <c r="H37" s="165"/>
      <c r="I37" s="165"/>
      <c r="J37" s="165"/>
      <c r="K37" s="165"/>
      <c r="L37" s="165"/>
      <c r="M37" s="165"/>
      <c r="N37" s="165"/>
      <c r="O37" s="165"/>
      <c r="P37" s="165"/>
      <c r="Q37" s="165"/>
    </row>
    <row r="38" spans="1:26" ht="36" x14ac:dyDescent="0.25">
      <c r="A38" s="37"/>
      <c r="C38" s="41"/>
      <c r="D38" s="41"/>
      <c r="E38" s="187"/>
      <c r="F38" s="165"/>
      <c r="G38" s="165"/>
      <c r="H38" s="165"/>
      <c r="I38" s="165"/>
      <c r="J38" s="165"/>
      <c r="K38" s="165"/>
      <c r="L38" s="165"/>
      <c r="M38" s="165"/>
      <c r="N38" s="165"/>
      <c r="O38" s="165"/>
      <c r="P38" s="165"/>
      <c r="Q38" s="165"/>
    </row>
    <row r="39" spans="1:26" ht="36" customHeight="1" x14ac:dyDescent="0.25">
      <c r="A39" s="37"/>
      <c r="C39" s="41"/>
      <c r="D39" s="41"/>
      <c r="E39" s="164"/>
      <c r="F39" s="165"/>
      <c r="G39" s="165"/>
      <c r="H39" s="165"/>
      <c r="I39" s="165"/>
      <c r="J39" s="165"/>
      <c r="K39" s="165"/>
      <c r="L39" s="165"/>
      <c r="M39" s="165"/>
      <c r="N39" s="165"/>
      <c r="O39" s="165"/>
      <c r="P39" s="165"/>
      <c r="Q39" s="165"/>
    </row>
    <row r="40" spans="1:26" ht="36" customHeight="1" x14ac:dyDescent="0.25">
      <c r="A40" s="37"/>
      <c r="C40" s="43"/>
      <c r="D40" s="43"/>
      <c r="E40" s="183"/>
      <c r="F40" s="184"/>
      <c r="G40" s="184"/>
      <c r="H40" s="184"/>
      <c r="I40" s="184"/>
      <c r="J40" s="184"/>
      <c r="K40" s="184"/>
      <c r="L40" s="184"/>
      <c r="M40" s="184"/>
      <c r="N40" s="184"/>
      <c r="O40" s="184"/>
      <c r="P40" s="184"/>
      <c r="Q40" s="184"/>
    </row>
    <row r="41" spans="1:26" ht="36" x14ac:dyDescent="0.25">
      <c r="A41" s="37"/>
      <c r="C41" s="41"/>
      <c r="D41" s="41"/>
      <c r="E41" s="164"/>
      <c r="F41" s="165"/>
      <c r="G41" s="165"/>
      <c r="H41" s="165"/>
      <c r="I41" s="165"/>
      <c r="J41" s="165"/>
      <c r="K41" s="165"/>
      <c r="L41" s="165"/>
      <c r="M41" s="165"/>
      <c r="N41" s="165"/>
      <c r="O41" s="165"/>
      <c r="P41" s="165"/>
      <c r="Q41" s="165"/>
    </row>
    <row r="42" spans="1:26" ht="30" customHeight="1" x14ac:dyDescent="0.25">
      <c r="A42" s="37"/>
      <c r="C42" s="41"/>
      <c r="D42" s="41"/>
      <c r="E42" s="164"/>
      <c r="F42" s="165"/>
      <c r="G42" s="165"/>
      <c r="H42" s="165"/>
      <c r="I42" s="165"/>
      <c r="J42" s="165"/>
      <c r="K42" s="165"/>
      <c r="L42" s="165"/>
      <c r="M42" s="165"/>
      <c r="N42" s="165"/>
      <c r="O42" s="165"/>
      <c r="P42" s="165"/>
      <c r="Q42" s="165"/>
    </row>
    <row r="43" spans="1:26" ht="50.1" customHeight="1" x14ac:dyDescent="0.7">
      <c r="A43" s="37"/>
      <c r="C43" s="186" t="s">
        <v>29</v>
      </c>
      <c r="D43" s="186"/>
      <c r="E43" s="186"/>
      <c r="F43" s="186"/>
      <c r="G43" s="186"/>
      <c r="H43" s="186"/>
      <c r="I43" s="186"/>
      <c r="J43" s="186"/>
      <c r="K43" s="186"/>
      <c r="L43" s="186"/>
      <c r="M43" s="186"/>
      <c r="N43" s="186"/>
      <c r="O43" s="186"/>
      <c r="P43" s="186"/>
      <c r="Q43" s="186"/>
    </row>
    <row r="44" spans="1:26" ht="30" customHeight="1" x14ac:dyDescent="0.7">
      <c r="A44" s="37"/>
      <c r="C44" s="45"/>
      <c r="D44" s="45"/>
      <c r="E44" s="45"/>
      <c r="F44" s="45"/>
      <c r="G44" s="45"/>
      <c r="H44" s="45"/>
      <c r="I44" s="45"/>
      <c r="J44" s="45"/>
      <c r="K44" s="45"/>
      <c r="L44" s="45"/>
      <c r="M44" s="45"/>
      <c r="N44" s="45"/>
      <c r="O44" s="45"/>
      <c r="P44" s="45"/>
      <c r="Q44" s="50"/>
    </row>
    <row r="45" spans="1:26" s="47" customFormat="1" ht="69.75" customHeight="1" thickBot="1" x14ac:dyDescent="0.3">
      <c r="A45" s="46"/>
      <c r="C45" s="174" t="s">
        <v>30</v>
      </c>
      <c r="D45" s="174"/>
      <c r="E45" s="174"/>
      <c r="F45" s="175" t="s">
        <v>31</v>
      </c>
      <c r="G45" s="176"/>
      <c r="H45" s="176"/>
      <c r="I45" s="176"/>
      <c r="J45" s="176"/>
      <c r="K45" s="176"/>
      <c r="L45" s="176"/>
      <c r="M45" s="176"/>
      <c r="N45" s="176"/>
      <c r="O45" s="176"/>
      <c r="P45" s="176"/>
      <c r="Q45" s="176"/>
    </row>
    <row r="46" spans="1:26" ht="409.5" customHeight="1" x14ac:dyDescent="0.25">
      <c r="A46" s="37"/>
      <c r="C46" s="177" t="s">
        <v>32</v>
      </c>
      <c r="D46" s="178"/>
      <c r="E46" s="179"/>
      <c r="F46" s="180" t="s">
        <v>224</v>
      </c>
      <c r="G46" s="181"/>
      <c r="H46" s="181"/>
      <c r="I46" s="181"/>
      <c r="J46" s="181"/>
      <c r="K46" s="181"/>
      <c r="L46" s="181"/>
      <c r="M46" s="181"/>
      <c r="N46" s="181"/>
      <c r="O46" s="181"/>
      <c r="P46" s="181"/>
      <c r="Q46" s="181"/>
    </row>
    <row r="47" spans="1:26" ht="310.5" customHeight="1" x14ac:dyDescent="0.25">
      <c r="A47" s="37"/>
      <c r="C47" s="169" t="s">
        <v>33</v>
      </c>
      <c r="D47" s="170"/>
      <c r="E47" s="171"/>
      <c r="F47" s="172" t="s">
        <v>34</v>
      </c>
      <c r="G47" s="173"/>
      <c r="H47" s="173"/>
      <c r="I47" s="173"/>
      <c r="J47" s="173"/>
      <c r="K47" s="173"/>
      <c r="L47" s="173"/>
      <c r="M47" s="173"/>
      <c r="N47" s="173"/>
      <c r="O47" s="173"/>
      <c r="P47" s="173"/>
      <c r="Q47" s="173"/>
    </row>
    <row r="48" spans="1:26" ht="177" customHeight="1" x14ac:dyDescent="0.25">
      <c r="A48" s="37"/>
      <c r="C48" s="169" t="s">
        <v>35</v>
      </c>
      <c r="D48" s="170"/>
      <c r="E48" s="171"/>
      <c r="F48" s="172" t="s">
        <v>36</v>
      </c>
      <c r="G48" s="173"/>
      <c r="H48" s="173"/>
      <c r="I48" s="173"/>
      <c r="J48" s="173"/>
      <c r="K48" s="173"/>
      <c r="L48" s="173"/>
      <c r="M48" s="173"/>
      <c r="N48" s="173"/>
      <c r="O48" s="173"/>
      <c r="P48" s="173"/>
      <c r="Q48" s="173"/>
      <c r="Z48" s="51"/>
    </row>
    <row r="49" spans="1:17" ht="209.25" customHeight="1" x14ac:dyDescent="0.25">
      <c r="A49" s="37"/>
      <c r="C49" s="169" t="s">
        <v>37</v>
      </c>
      <c r="D49" s="170"/>
      <c r="E49" s="171"/>
      <c r="F49" s="172" t="s">
        <v>38</v>
      </c>
      <c r="G49" s="173"/>
      <c r="H49" s="173"/>
      <c r="I49" s="173"/>
      <c r="J49" s="173"/>
      <c r="K49" s="173"/>
      <c r="L49" s="173"/>
      <c r="M49" s="173"/>
      <c r="N49" s="173"/>
      <c r="O49" s="173"/>
      <c r="P49" s="173"/>
      <c r="Q49" s="173"/>
    </row>
    <row r="50" spans="1:17" ht="310.5" customHeight="1" x14ac:dyDescent="0.25">
      <c r="A50" s="37"/>
      <c r="C50" s="169" t="s">
        <v>39</v>
      </c>
      <c r="D50" s="170"/>
      <c r="E50" s="171"/>
      <c r="F50" s="172" t="s">
        <v>40</v>
      </c>
      <c r="G50" s="173"/>
      <c r="H50" s="173"/>
      <c r="I50" s="173"/>
      <c r="J50" s="173"/>
      <c r="K50" s="173"/>
      <c r="L50" s="173"/>
      <c r="M50" s="173"/>
      <c r="N50" s="173"/>
      <c r="O50" s="173"/>
      <c r="P50" s="173"/>
      <c r="Q50" s="173"/>
    </row>
    <row r="51" spans="1:17" ht="183" customHeight="1" x14ac:dyDescent="0.25">
      <c r="A51" s="37"/>
      <c r="C51" s="169" t="s">
        <v>41</v>
      </c>
      <c r="D51" s="170"/>
      <c r="E51" s="171"/>
      <c r="F51" s="172" t="s">
        <v>42</v>
      </c>
      <c r="G51" s="173"/>
      <c r="H51" s="173"/>
      <c r="I51" s="173"/>
      <c r="J51" s="173"/>
      <c r="K51" s="173"/>
      <c r="L51" s="173"/>
      <c r="M51" s="173"/>
      <c r="N51" s="173"/>
      <c r="O51" s="173"/>
      <c r="P51" s="173"/>
      <c r="Q51" s="173"/>
    </row>
    <row r="52" spans="1:17" ht="90.75" customHeight="1" x14ac:dyDescent="0.25">
      <c r="A52" s="37"/>
      <c r="C52" s="169" t="s">
        <v>43</v>
      </c>
      <c r="D52" s="170"/>
      <c r="E52" s="171"/>
      <c r="F52" s="172" t="s">
        <v>44</v>
      </c>
      <c r="G52" s="173"/>
      <c r="H52" s="173"/>
      <c r="I52" s="173"/>
      <c r="J52" s="173"/>
      <c r="K52" s="173"/>
      <c r="L52" s="173"/>
      <c r="M52" s="173"/>
      <c r="N52" s="173"/>
      <c r="O52" s="173"/>
      <c r="P52" s="173"/>
      <c r="Q52" s="173"/>
    </row>
    <row r="53" spans="1:17" ht="201.75" customHeight="1" x14ac:dyDescent="0.25">
      <c r="A53" s="37"/>
      <c r="C53" s="169" t="s">
        <v>45</v>
      </c>
      <c r="D53" s="170"/>
      <c r="E53" s="171"/>
      <c r="F53" s="172" t="s">
        <v>46</v>
      </c>
      <c r="G53" s="173"/>
      <c r="H53" s="173"/>
      <c r="I53" s="173"/>
      <c r="J53" s="173"/>
      <c r="K53" s="173"/>
      <c r="L53" s="173"/>
      <c r="M53" s="173"/>
      <c r="N53" s="173"/>
      <c r="O53" s="173"/>
      <c r="P53" s="173"/>
      <c r="Q53" s="173"/>
    </row>
    <row r="54" spans="1:17" ht="36" customHeight="1" x14ac:dyDescent="0.25">
      <c r="A54" s="37"/>
      <c r="C54" s="41"/>
      <c r="D54" s="41"/>
      <c r="E54" s="164"/>
      <c r="F54" s="165"/>
      <c r="G54" s="165"/>
      <c r="H54" s="165"/>
      <c r="I54" s="165"/>
      <c r="J54" s="165"/>
      <c r="K54" s="165"/>
      <c r="L54" s="165"/>
      <c r="M54" s="165"/>
      <c r="N54" s="165"/>
      <c r="O54" s="165"/>
      <c r="P54" s="165"/>
      <c r="Q54" s="165"/>
    </row>
    <row r="55" spans="1:17" ht="36" customHeight="1" x14ac:dyDescent="0.25">
      <c r="A55" s="37"/>
      <c r="C55" s="41"/>
      <c r="D55" s="41"/>
      <c r="E55" s="164"/>
      <c r="F55" s="165"/>
      <c r="G55" s="165"/>
      <c r="H55" s="165"/>
      <c r="I55" s="165"/>
      <c r="J55" s="165"/>
      <c r="K55" s="165"/>
      <c r="L55" s="165"/>
      <c r="M55" s="165"/>
      <c r="N55" s="165"/>
      <c r="O55" s="165"/>
      <c r="P55" s="165"/>
      <c r="Q55" s="165"/>
    </row>
    <row r="56" spans="1:17" ht="41.25" customHeight="1" x14ac:dyDescent="0.25">
      <c r="A56" s="37"/>
      <c r="C56" s="185"/>
      <c r="D56" s="185"/>
      <c r="E56" s="185"/>
      <c r="F56" s="185"/>
      <c r="G56" s="185"/>
      <c r="H56" s="185"/>
      <c r="I56" s="185"/>
      <c r="J56" s="185"/>
      <c r="K56" s="185"/>
      <c r="L56" s="185"/>
      <c r="M56" s="185"/>
      <c r="N56" s="185"/>
      <c r="O56" s="185"/>
      <c r="P56" s="185"/>
      <c r="Q56" s="185"/>
    </row>
    <row r="57" spans="1:17" ht="36" x14ac:dyDescent="0.25">
      <c r="A57" s="37"/>
      <c r="C57" s="41"/>
      <c r="D57" s="41"/>
      <c r="E57" s="164"/>
      <c r="F57" s="165"/>
      <c r="G57" s="165"/>
      <c r="H57" s="165"/>
      <c r="I57" s="165"/>
      <c r="J57" s="165"/>
      <c r="K57" s="165"/>
      <c r="L57" s="165"/>
      <c r="M57" s="165"/>
      <c r="N57" s="165"/>
      <c r="O57" s="165"/>
      <c r="P57" s="165"/>
      <c r="Q57" s="165"/>
    </row>
    <row r="58" spans="1:17" ht="36" x14ac:dyDescent="0.25">
      <c r="A58" s="37"/>
      <c r="C58" s="41"/>
      <c r="D58" s="41"/>
      <c r="E58" s="164"/>
      <c r="F58" s="165"/>
      <c r="G58" s="165"/>
      <c r="H58" s="165"/>
      <c r="I58" s="165"/>
      <c r="J58" s="165"/>
      <c r="K58" s="165"/>
      <c r="L58" s="165"/>
      <c r="M58" s="165"/>
      <c r="N58" s="165"/>
      <c r="O58" s="165"/>
      <c r="P58" s="165"/>
      <c r="Q58" s="165"/>
    </row>
    <row r="59" spans="1:17" ht="36.75" customHeight="1" x14ac:dyDescent="0.25">
      <c r="A59" s="37"/>
      <c r="C59" s="43"/>
      <c r="D59" s="43"/>
      <c r="E59" s="183"/>
      <c r="F59" s="184"/>
      <c r="G59" s="184"/>
      <c r="H59" s="184"/>
      <c r="I59" s="184"/>
      <c r="J59" s="184"/>
      <c r="K59" s="184"/>
      <c r="L59" s="184"/>
      <c r="M59" s="184"/>
      <c r="N59" s="184"/>
      <c r="O59" s="184"/>
      <c r="P59" s="184"/>
      <c r="Q59" s="184"/>
    </row>
    <row r="60" spans="1:17" ht="36" x14ac:dyDescent="0.25">
      <c r="A60" s="37"/>
      <c r="C60" s="41"/>
      <c r="D60" s="41"/>
      <c r="E60" s="164"/>
      <c r="F60" s="165"/>
      <c r="G60" s="165"/>
      <c r="H60" s="165"/>
      <c r="I60" s="165"/>
      <c r="J60" s="165"/>
      <c r="K60" s="165"/>
      <c r="L60" s="165"/>
      <c r="M60" s="165"/>
      <c r="N60" s="165"/>
      <c r="O60" s="165"/>
      <c r="P60" s="165"/>
      <c r="Q60" s="165"/>
    </row>
    <row r="61" spans="1:17" ht="39" customHeight="1" x14ac:dyDescent="0.25">
      <c r="A61" s="37"/>
      <c r="C61" s="41"/>
      <c r="D61" s="41"/>
      <c r="E61" s="164"/>
      <c r="F61" s="165"/>
      <c r="G61" s="165"/>
      <c r="H61" s="165"/>
      <c r="I61" s="165"/>
      <c r="J61" s="165"/>
      <c r="K61" s="165"/>
      <c r="L61" s="165"/>
      <c r="M61" s="165"/>
      <c r="N61" s="165"/>
      <c r="O61" s="165"/>
      <c r="P61" s="165"/>
      <c r="Q61" s="165"/>
    </row>
    <row r="62" spans="1:17" ht="35.25" customHeight="1" x14ac:dyDescent="0.25">
      <c r="A62" s="37"/>
      <c r="C62" s="41"/>
      <c r="D62" s="41"/>
      <c r="E62" s="164"/>
      <c r="F62" s="165"/>
      <c r="G62" s="165"/>
      <c r="H62" s="165"/>
      <c r="I62" s="165"/>
      <c r="J62" s="165"/>
      <c r="K62" s="165"/>
      <c r="L62" s="165"/>
      <c r="M62" s="165"/>
      <c r="N62" s="165"/>
      <c r="O62" s="165"/>
      <c r="P62" s="165"/>
      <c r="Q62" s="165"/>
    </row>
    <row r="63" spans="1:17" ht="35.25" customHeight="1" x14ac:dyDescent="0.25">
      <c r="A63" s="37"/>
      <c r="C63" s="41"/>
      <c r="D63" s="41"/>
      <c r="E63" s="164"/>
      <c r="F63" s="165"/>
      <c r="G63" s="165"/>
      <c r="H63" s="165"/>
      <c r="I63" s="165"/>
      <c r="J63" s="165"/>
      <c r="K63" s="165"/>
      <c r="L63" s="165"/>
      <c r="M63" s="165"/>
      <c r="N63" s="165"/>
      <c r="O63" s="165"/>
      <c r="P63" s="165"/>
      <c r="Q63" s="165"/>
    </row>
    <row r="64" spans="1:17" ht="35.25" customHeight="1" x14ac:dyDescent="0.25">
      <c r="A64" s="37"/>
      <c r="C64" s="53"/>
      <c r="D64" s="41"/>
      <c r="E64" s="164"/>
      <c r="F64" s="165"/>
      <c r="G64" s="165"/>
      <c r="H64" s="165"/>
      <c r="I64" s="165"/>
      <c r="J64" s="165"/>
      <c r="K64" s="165"/>
      <c r="L64" s="165"/>
      <c r="M64" s="165"/>
      <c r="N64" s="165"/>
      <c r="O64" s="165"/>
      <c r="P64" s="165"/>
      <c r="Q64" s="165"/>
    </row>
    <row r="65" spans="1:17" ht="35.25" customHeight="1" x14ac:dyDescent="0.25">
      <c r="A65" s="37"/>
      <c r="C65" s="41"/>
      <c r="D65" s="41"/>
      <c r="E65" s="166"/>
      <c r="F65" s="167"/>
      <c r="G65" s="167"/>
      <c r="H65" s="167"/>
      <c r="I65" s="167"/>
      <c r="J65" s="167"/>
      <c r="K65" s="167"/>
      <c r="L65" s="167"/>
      <c r="M65" s="167"/>
      <c r="N65" s="167"/>
      <c r="O65" s="167"/>
      <c r="P65" s="167"/>
      <c r="Q65" s="167"/>
    </row>
    <row r="66" spans="1:17" x14ac:dyDescent="0.25">
      <c r="A66" s="37"/>
      <c r="C66" s="38"/>
      <c r="F66" s="38"/>
      <c r="G66" s="38"/>
      <c r="I66" s="38"/>
      <c r="K66" s="38"/>
      <c r="P66" s="38"/>
    </row>
    <row r="67" spans="1:17" ht="37.5" customHeight="1" x14ac:dyDescent="0.25">
      <c r="A67" s="37"/>
      <c r="C67" s="38"/>
      <c r="F67" s="38"/>
      <c r="G67" s="38"/>
      <c r="I67" s="38"/>
      <c r="K67" s="38"/>
      <c r="P67" s="38"/>
    </row>
    <row r="68" spans="1:17" ht="39" customHeight="1" x14ac:dyDescent="0.25">
      <c r="A68" s="37"/>
      <c r="C68" s="38"/>
      <c r="F68" s="38"/>
      <c r="G68" s="38"/>
      <c r="I68" s="38"/>
      <c r="K68" s="38"/>
      <c r="P68" s="38"/>
    </row>
    <row r="69" spans="1:17" ht="36" x14ac:dyDescent="0.25">
      <c r="A69" s="37"/>
      <c r="C69" s="41"/>
      <c r="D69" s="41"/>
      <c r="E69" s="52"/>
      <c r="F69" s="52"/>
      <c r="G69" s="52"/>
      <c r="H69" s="52"/>
      <c r="I69" s="52"/>
      <c r="J69" s="52"/>
      <c r="K69" s="52"/>
      <c r="L69" s="52"/>
      <c r="M69" s="52"/>
      <c r="N69" s="52"/>
      <c r="O69" s="52"/>
      <c r="P69" s="52"/>
      <c r="Q69" s="52"/>
    </row>
    <row r="70" spans="1:17" ht="15" customHeight="1" x14ac:dyDescent="0.25">
      <c r="A70" s="37"/>
      <c r="C70" s="168"/>
      <c r="D70" s="168"/>
      <c r="E70" s="168"/>
      <c r="F70" s="168"/>
      <c r="G70" s="168"/>
      <c r="H70" s="168"/>
      <c r="I70" s="168"/>
      <c r="J70" s="168"/>
      <c r="K70" s="168"/>
      <c r="L70" s="168"/>
      <c r="M70" s="168"/>
      <c r="N70" s="168"/>
      <c r="O70" s="168"/>
      <c r="P70" s="168"/>
      <c r="Q70" s="168"/>
    </row>
    <row r="71" spans="1:17" ht="15" customHeight="1" x14ac:dyDescent="0.25">
      <c r="A71" s="37"/>
      <c r="C71" s="168"/>
      <c r="D71" s="168"/>
      <c r="E71" s="168"/>
      <c r="F71" s="168"/>
      <c r="G71" s="168"/>
      <c r="H71" s="168"/>
      <c r="I71" s="168"/>
      <c r="J71" s="168"/>
      <c r="K71" s="168"/>
      <c r="L71" s="168"/>
      <c r="M71" s="168"/>
      <c r="N71" s="168"/>
      <c r="O71" s="168"/>
      <c r="P71" s="168"/>
      <c r="Q71" s="168"/>
    </row>
    <row r="72" spans="1:17" ht="15" customHeight="1" x14ac:dyDescent="0.25">
      <c r="A72" s="37"/>
      <c r="C72" s="168"/>
      <c r="D72" s="168"/>
      <c r="E72" s="168"/>
      <c r="F72" s="168"/>
      <c r="G72" s="168"/>
      <c r="H72" s="168"/>
      <c r="I72" s="168"/>
      <c r="J72" s="168"/>
      <c r="K72" s="168"/>
      <c r="L72" s="168"/>
      <c r="M72" s="168"/>
      <c r="N72" s="168"/>
      <c r="O72" s="168"/>
      <c r="P72" s="168"/>
      <c r="Q72" s="168"/>
    </row>
    <row r="73" spans="1:17" ht="15" customHeight="1" x14ac:dyDescent="0.25">
      <c r="A73" s="37"/>
      <c r="C73" s="168"/>
      <c r="D73" s="168"/>
      <c r="E73" s="168"/>
      <c r="F73" s="168"/>
      <c r="G73" s="168"/>
      <c r="H73" s="168"/>
      <c r="I73" s="168"/>
      <c r="J73" s="168"/>
      <c r="K73" s="168"/>
      <c r="L73" s="168"/>
      <c r="M73" s="168"/>
      <c r="N73" s="168"/>
      <c r="O73" s="168"/>
      <c r="P73" s="168"/>
      <c r="Q73" s="168"/>
    </row>
    <row r="74" spans="1:17" ht="15" customHeight="1" x14ac:dyDescent="0.25">
      <c r="A74" s="37"/>
      <c r="C74" s="168"/>
      <c r="D74" s="168"/>
      <c r="E74" s="168"/>
      <c r="F74" s="168"/>
      <c r="G74" s="168"/>
      <c r="H74" s="168"/>
      <c r="I74" s="168"/>
      <c r="J74" s="168"/>
      <c r="K74" s="168"/>
      <c r="L74" s="168"/>
      <c r="M74" s="168"/>
      <c r="N74" s="168"/>
      <c r="O74" s="168"/>
      <c r="P74" s="168"/>
      <c r="Q74" s="168"/>
    </row>
    <row r="75" spans="1:17" ht="15" customHeight="1" x14ac:dyDescent="0.25">
      <c r="A75" s="37"/>
      <c r="C75" s="168"/>
      <c r="D75" s="168"/>
      <c r="E75" s="168"/>
      <c r="F75" s="168"/>
      <c r="G75" s="168"/>
      <c r="H75" s="168"/>
      <c r="I75" s="168"/>
      <c r="J75" s="168"/>
      <c r="K75" s="168"/>
      <c r="L75" s="168"/>
      <c r="M75" s="168"/>
      <c r="N75" s="168"/>
      <c r="O75" s="168"/>
      <c r="P75" s="168"/>
      <c r="Q75" s="168"/>
    </row>
    <row r="76" spans="1:17" ht="15" customHeight="1" x14ac:dyDescent="0.25">
      <c r="A76" s="37"/>
      <c r="C76" s="168"/>
      <c r="D76" s="168"/>
      <c r="E76" s="168"/>
      <c r="F76" s="168"/>
      <c r="G76" s="168"/>
      <c r="H76" s="168"/>
      <c r="I76" s="168"/>
      <c r="J76" s="168"/>
      <c r="K76" s="168"/>
      <c r="L76" s="168"/>
      <c r="M76" s="168"/>
      <c r="N76" s="168"/>
      <c r="O76" s="168"/>
      <c r="P76" s="168"/>
      <c r="Q76" s="168"/>
    </row>
    <row r="77" spans="1:17" ht="15" x14ac:dyDescent="0.25">
      <c r="A77" s="37"/>
      <c r="C77" s="182"/>
      <c r="D77" s="182"/>
      <c r="E77" s="182"/>
      <c r="F77" s="182"/>
      <c r="G77" s="182"/>
      <c r="H77" s="182"/>
      <c r="I77" s="182"/>
      <c r="J77" s="182"/>
      <c r="K77" s="182"/>
      <c r="L77" s="182"/>
      <c r="M77" s="182"/>
      <c r="N77" s="182"/>
      <c r="O77" s="182"/>
      <c r="P77" s="182"/>
      <c r="Q77" s="182"/>
    </row>
    <row r="78" spans="1:17" ht="15" x14ac:dyDescent="0.25">
      <c r="A78" s="37"/>
      <c r="C78" s="182"/>
      <c r="D78" s="182"/>
      <c r="E78" s="182"/>
      <c r="F78" s="182"/>
      <c r="G78" s="182"/>
      <c r="H78" s="182"/>
      <c r="I78" s="182"/>
      <c r="J78" s="182"/>
      <c r="K78" s="182"/>
      <c r="L78" s="182"/>
      <c r="M78" s="182"/>
      <c r="N78" s="182"/>
      <c r="O78" s="182"/>
      <c r="P78" s="182"/>
      <c r="Q78" s="182"/>
    </row>
    <row r="79" spans="1:17" ht="15" x14ac:dyDescent="0.25">
      <c r="A79" s="37"/>
      <c r="C79" s="182"/>
      <c r="D79" s="182"/>
      <c r="E79" s="182"/>
      <c r="F79" s="182"/>
      <c r="G79" s="182"/>
      <c r="H79" s="182"/>
      <c r="I79" s="182"/>
      <c r="J79" s="182"/>
      <c r="K79" s="182"/>
      <c r="L79" s="182"/>
      <c r="M79" s="182"/>
      <c r="N79" s="182"/>
      <c r="O79" s="182"/>
      <c r="P79" s="182"/>
      <c r="Q79" s="182"/>
    </row>
    <row r="80" spans="1:17" x14ac:dyDescent="0.25">
      <c r="A80" s="37"/>
      <c r="C80" s="38"/>
      <c r="F80" s="38"/>
      <c r="G80" s="38"/>
      <c r="I80" s="38"/>
      <c r="K80" s="38"/>
      <c r="P80" s="38"/>
    </row>
    <row r="81" spans="3:16" x14ac:dyDescent="0.25">
      <c r="C81" s="38"/>
      <c r="F81" s="38"/>
      <c r="G81" s="38"/>
      <c r="I81" s="38"/>
      <c r="K81" s="38"/>
      <c r="P81" s="38"/>
    </row>
    <row r="82" spans="3:16" x14ac:dyDescent="0.25">
      <c r="C82" s="38"/>
      <c r="F82" s="38"/>
      <c r="G82" s="38"/>
      <c r="I82" s="38"/>
      <c r="K82" s="38"/>
      <c r="P82" s="38"/>
    </row>
    <row r="83" spans="3:16" x14ac:dyDescent="0.25">
      <c r="C83" s="38"/>
      <c r="F83" s="38"/>
      <c r="G83" s="38"/>
      <c r="I83" s="38"/>
      <c r="K83" s="38"/>
      <c r="P83" s="38"/>
    </row>
    <row r="84" spans="3:16" x14ac:dyDescent="0.25">
      <c r="C84" s="38"/>
      <c r="F84" s="38"/>
      <c r="G84" s="38"/>
      <c r="I84" s="38"/>
      <c r="K84" s="38"/>
      <c r="P84" s="38"/>
    </row>
    <row r="85" spans="3:16" x14ac:dyDescent="0.25">
      <c r="C85" s="38"/>
      <c r="F85" s="38"/>
      <c r="G85" s="38"/>
      <c r="I85" s="38"/>
      <c r="K85" s="38"/>
      <c r="P85" s="38"/>
    </row>
    <row r="86" spans="3:16" x14ac:dyDescent="0.25">
      <c r="C86" s="38"/>
      <c r="F86" s="38"/>
      <c r="G86" s="38"/>
      <c r="I86" s="38"/>
      <c r="K86" s="38"/>
      <c r="P86" s="38"/>
    </row>
    <row r="87" spans="3:16" x14ac:dyDescent="0.25">
      <c r="C87" s="38"/>
      <c r="F87" s="38"/>
      <c r="G87" s="38"/>
      <c r="I87" s="38"/>
      <c r="K87" s="38"/>
      <c r="P87" s="38"/>
    </row>
    <row r="88" spans="3:16" x14ac:dyDescent="0.25">
      <c r="C88" s="38"/>
      <c r="F88" s="38"/>
      <c r="G88" s="38"/>
      <c r="I88" s="38"/>
      <c r="K88" s="38"/>
      <c r="P88" s="38"/>
    </row>
    <row r="89" spans="3:16" x14ac:dyDescent="0.25">
      <c r="C89" s="38"/>
      <c r="F89" s="38"/>
      <c r="G89" s="38"/>
      <c r="I89" s="38"/>
      <c r="K89" s="38"/>
      <c r="P89" s="38"/>
    </row>
  </sheetData>
  <mergeCells count="170">
    <mergeCell ref="R5:S5"/>
    <mergeCell ref="C6:E6"/>
    <mergeCell ref="F6:H6"/>
    <mergeCell ref="I6:J6"/>
    <mergeCell ref="K6:L6"/>
    <mergeCell ref="M6:O6"/>
    <mergeCell ref="P6:Q6"/>
    <mergeCell ref="R6:S6"/>
    <mergeCell ref="C3:Q3"/>
    <mergeCell ref="C5:E5"/>
    <mergeCell ref="F5:H5"/>
    <mergeCell ref="I5:J5"/>
    <mergeCell ref="K5:L5"/>
    <mergeCell ref="M5:O5"/>
    <mergeCell ref="P5:Q5"/>
    <mergeCell ref="R7:S7"/>
    <mergeCell ref="C8:E8"/>
    <mergeCell ref="F8:H8"/>
    <mergeCell ref="I8:J8"/>
    <mergeCell ref="K8:L8"/>
    <mergeCell ref="M8:O8"/>
    <mergeCell ref="P8:Q8"/>
    <mergeCell ref="R8:S8"/>
    <mergeCell ref="C7:E7"/>
    <mergeCell ref="F7:H7"/>
    <mergeCell ref="I7:J7"/>
    <mergeCell ref="K7:L7"/>
    <mergeCell ref="M7:O7"/>
    <mergeCell ref="P7:Q7"/>
    <mergeCell ref="R9:S9"/>
    <mergeCell ref="C10:E10"/>
    <mergeCell ref="F10:H10"/>
    <mergeCell ref="I10:J10"/>
    <mergeCell ref="K10:L10"/>
    <mergeCell ref="M10:O10"/>
    <mergeCell ref="P10:Q10"/>
    <mergeCell ref="R10:S10"/>
    <mergeCell ref="C9:E9"/>
    <mergeCell ref="F9:H9"/>
    <mergeCell ref="I9:J9"/>
    <mergeCell ref="K9:L9"/>
    <mergeCell ref="M9:O9"/>
    <mergeCell ref="P9:Q9"/>
    <mergeCell ref="R11:S11"/>
    <mergeCell ref="C12:E12"/>
    <mergeCell ref="F12:H12"/>
    <mergeCell ref="I12:J12"/>
    <mergeCell ref="K12:L12"/>
    <mergeCell ref="M12:O12"/>
    <mergeCell ref="P12:Q12"/>
    <mergeCell ref="R12:S12"/>
    <mergeCell ref="C11:E11"/>
    <mergeCell ref="F11:H11"/>
    <mergeCell ref="I11:J11"/>
    <mergeCell ref="K11:L11"/>
    <mergeCell ref="M11:O11"/>
    <mergeCell ref="P11:Q11"/>
    <mergeCell ref="R13:S13"/>
    <mergeCell ref="C14:E14"/>
    <mergeCell ref="F14:H14"/>
    <mergeCell ref="I14:J14"/>
    <mergeCell ref="K14:L14"/>
    <mergeCell ref="M14:O14"/>
    <mergeCell ref="P14:Q14"/>
    <mergeCell ref="R14:S14"/>
    <mergeCell ref="C13:E13"/>
    <mergeCell ref="F13:H13"/>
    <mergeCell ref="I13:J13"/>
    <mergeCell ref="K13:L13"/>
    <mergeCell ref="M13:O13"/>
    <mergeCell ref="P13:Q13"/>
    <mergeCell ref="R15:S15"/>
    <mergeCell ref="C16:E16"/>
    <mergeCell ref="F16:H16"/>
    <mergeCell ref="I16:J16"/>
    <mergeCell ref="K16:L16"/>
    <mergeCell ref="M16:O16"/>
    <mergeCell ref="P16:Q16"/>
    <mergeCell ref="R16:S16"/>
    <mergeCell ref="C15:E15"/>
    <mergeCell ref="F15:H15"/>
    <mergeCell ref="I15:J15"/>
    <mergeCell ref="K15:L15"/>
    <mergeCell ref="M15:O15"/>
    <mergeCell ref="P15:Q15"/>
    <mergeCell ref="R20:S20"/>
    <mergeCell ref="C21:E21"/>
    <mergeCell ref="F21:H21"/>
    <mergeCell ref="I21:J21"/>
    <mergeCell ref="K21:L21"/>
    <mergeCell ref="M21:O21"/>
    <mergeCell ref="P21:Q21"/>
    <mergeCell ref="R21:S21"/>
    <mergeCell ref="C18:Q18"/>
    <mergeCell ref="C20:E20"/>
    <mergeCell ref="F20:H20"/>
    <mergeCell ref="I20:J20"/>
    <mergeCell ref="K20:L20"/>
    <mergeCell ref="M20:O20"/>
    <mergeCell ref="P20:Q20"/>
    <mergeCell ref="C25:Q25"/>
    <mergeCell ref="C27:P27"/>
    <mergeCell ref="C29:Q29"/>
    <mergeCell ref="C31:E31"/>
    <mergeCell ref="F31:L31"/>
    <mergeCell ref="M31:Q31"/>
    <mergeCell ref="R22:S22"/>
    <mergeCell ref="C23:E23"/>
    <mergeCell ref="F23:H23"/>
    <mergeCell ref="I23:J23"/>
    <mergeCell ref="K23:L23"/>
    <mergeCell ref="M23:O23"/>
    <mergeCell ref="P23:Q23"/>
    <mergeCell ref="R23:S23"/>
    <mergeCell ref="C22:E22"/>
    <mergeCell ref="F22:H22"/>
    <mergeCell ref="I22:J22"/>
    <mergeCell ref="K22:L22"/>
    <mergeCell ref="M22:O22"/>
    <mergeCell ref="P22:Q22"/>
    <mergeCell ref="C34:E34"/>
    <mergeCell ref="F34:L34"/>
    <mergeCell ref="M34:Q34"/>
    <mergeCell ref="E35:Q35"/>
    <mergeCell ref="E36:Q36"/>
    <mergeCell ref="E37:Q37"/>
    <mergeCell ref="C32:E32"/>
    <mergeCell ref="F32:L32"/>
    <mergeCell ref="M32:Q32"/>
    <mergeCell ref="C33:E33"/>
    <mergeCell ref="F33:L33"/>
    <mergeCell ref="M33:Q33"/>
    <mergeCell ref="C45:E45"/>
    <mergeCell ref="F45:Q45"/>
    <mergeCell ref="C46:E46"/>
    <mergeCell ref="F46:Q46"/>
    <mergeCell ref="C47:E47"/>
    <mergeCell ref="F47:Q47"/>
    <mergeCell ref="E38:Q38"/>
    <mergeCell ref="E39:Q39"/>
    <mergeCell ref="E40:Q40"/>
    <mergeCell ref="E41:Q41"/>
    <mergeCell ref="E42:Q42"/>
    <mergeCell ref="C43:Q43"/>
    <mergeCell ref="C51:E51"/>
    <mergeCell ref="F51:Q51"/>
    <mergeCell ref="C52:E52"/>
    <mergeCell ref="F52:Q52"/>
    <mergeCell ref="C53:E53"/>
    <mergeCell ref="F53:Q53"/>
    <mergeCell ref="C48:E48"/>
    <mergeCell ref="F48:Q48"/>
    <mergeCell ref="C49:E49"/>
    <mergeCell ref="F49:Q49"/>
    <mergeCell ref="C50:E50"/>
    <mergeCell ref="F50:Q50"/>
    <mergeCell ref="C70:Q76"/>
    <mergeCell ref="C77:Q79"/>
    <mergeCell ref="E60:Q60"/>
    <mergeCell ref="E61:Q61"/>
    <mergeCell ref="E62:Q62"/>
    <mergeCell ref="E63:Q63"/>
    <mergeCell ref="E64:Q64"/>
    <mergeCell ref="E65:Q65"/>
    <mergeCell ref="E54:Q54"/>
    <mergeCell ref="E55:Q55"/>
    <mergeCell ref="C56:Q56"/>
    <mergeCell ref="E57:Q57"/>
    <mergeCell ref="E58:Q58"/>
    <mergeCell ref="E59:Q59"/>
  </mergeCells>
  <pageMargins left="0.511811024" right="0.511811024" top="0.78740157499999996" bottom="0.78740157499999996" header="0.31496062000000002" footer="0.31496062000000002"/>
  <pageSetup paperSize="9" scale="28" fitToHeight="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64e00a5-9107-4568-870c-d8d2e75469de">
      <Terms xmlns="http://schemas.microsoft.com/office/infopath/2007/PartnerControls"/>
    </lcf76f155ced4ddcb4097134ff3c332f>
    <TaxCatchAll xmlns="f40e0337-bb5c-4fb8-a623-c305e9eca8d8" xsi:nil="true"/>
    <SharedWithUsers xmlns="f40e0337-bb5c-4fb8-a623-c305e9eca8d8">
      <UserInfo>
        <DisplayName/>
        <AccountId xsi:nil="true"/>
        <AccountType/>
      </UserInfo>
    </SharedWithUsers>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9B452E3A5D4CF4BAE3E1F4111076246" ma:contentTypeVersion="17" ma:contentTypeDescription="Crie um novo documento." ma:contentTypeScope="" ma:versionID="81461a10b504d0525a86d57a0e5dc4b9">
  <xsd:schema xmlns:xsd="http://www.w3.org/2001/XMLSchema" xmlns:xs="http://www.w3.org/2001/XMLSchema" xmlns:p="http://schemas.microsoft.com/office/2006/metadata/properties" xmlns:ns1="http://schemas.microsoft.com/sharepoint/v3" xmlns:ns2="364e00a5-9107-4568-870c-d8d2e75469de" xmlns:ns3="f40e0337-bb5c-4fb8-a623-c305e9eca8d8" targetNamespace="http://schemas.microsoft.com/office/2006/metadata/properties" ma:root="true" ma:fieldsID="5cec882a5b8c71a7ad78a2068d2c90cd" ns1:_="" ns2:_="" ns3:_="">
    <xsd:import namespace="http://schemas.microsoft.com/sharepoint/v3"/>
    <xsd:import namespace="364e00a5-9107-4568-870c-d8d2e75469de"/>
    <xsd:import namespace="f40e0337-bb5c-4fb8-a623-c305e9eca8d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MediaServiceObjectDetectorVersions" minOccurs="0"/>
                <xsd:element ref="ns2:MediaServiceSearchProperties"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Propriedades da Política de Conformidade Unificada" ma:hidden="true" ma:internalName="_ip_UnifiedCompliancePolicyProperties">
      <xsd:simpleType>
        <xsd:restriction base="dms:Note"/>
      </xsd:simpleType>
    </xsd:element>
    <xsd:element name="_ip_UnifiedCompliancePolicyUIAction" ma:index="24"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64e00a5-9107-4568-870c-d8d2e75469d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7bfb4e49-6f5d-460f-8245-f0e15177ea6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0e0337-bb5c-4fb8-a623-c305e9eca8d8"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14" nillable="true" ma:displayName="Taxonomy Catch All Column" ma:hidden="true" ma:list="{61f0c89b-65db-4a4f-a4d3-d31320cd1bda}" ma:internalName="TaxCatchAll" ma:showField="CatchAllData" ma:web="f40e0337-bb5c-4fb8-a623-c305e9eca8d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6FE108B-7D58-4948-8A82-AF80E521FED9}">
  <ds:schemaRefs>
    <ds:schemaRef ds:uri="http://purl.org/dc/terms/"/>
    <ds:schemaRef ds:uri="364e00a5-9107-4568-870c-d8d2e75469de"/>
    <ds:schemaRef ds:uri="http://schemas.openxmlformats.org/package/2006/metadata/core-properties"/>
    <ds:schemaRef ds:uri="http://schemas.microsoft.com/sharepoint/v3"/>
    <ds:schemaRef ds:uri="http://purl.org/dc/elements/1.1/"/>
    <ds:schemaRef ds:uri="f40e0337-bb5c-4fb8-a623-c305e9eca8d8"/>
    <ds:schemaRef ds:uri="http://www.w3.org/XML/1998/namespace"/>
    <ds:schemaRef ds:uri="http://schemas.microsoft.com/office/2006/metadata/properties"/>
    <ds:schemaRef ds:uri="http://schemas.microsoft.com/office/2006/documentManagement/types"/>
    <ds:schemaRef ds:uri="http://schemas.microsoft.com/office/infopath/2007/PartnerControls"/>
    <ds:schemaRef ds:uri="http://purl.org/dc/dcmitype/"/>
  </ds:schemaRefs>
</ds:datastoreItem>
</file>

<file path=customXml/itemProps2.xml><?xml version="1.0" encoding="utf-8"?>
<ds:datastoreItem xmlns:ds="http://schemas.openxmlformats.org/officeDocument/2006/customXml" ds:itemID="{B1EEF05A-3B82-403B-AF69-64E0A3E4BB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64e00a5-9107-4568-870c-d8d2e75469de"/>
    <ds:schemaRef ds:uri="f40e0337-bb5c-4fb8-a623-c305e9eca8d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995B798-919F-48D1-80C2-849C850E0A10}">
  <ds:schemaRefs>
    <ds:schemaRef ds:uri="http://schemas.microsoft.com/sharepoint/v3/contenttype/forms"/>
  </ds:schemaRefs>
</ds:datastoreItem>
</file>

<file path=docMetadata/LabelInfo.xml><?xml version="1.0" encoding="utf-8"?>
<clbl:labelList xmlns:clbl="http://schemas.microsoft.com/office/2020/mipLabelMetadata">
  <clbl:label id="{340ed6a7-0f03-43d9-901d-02d4a7e408aa}" enabled="1" method="Privileged" siteId="{7893571b-6c2c-4cef-b4da-7d4b266a062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Custos Estimados</vt:lpstr>
      <vt:lpstr>PV Nacional</vt:lpstr>
      <vt:lpstr>Informações Complementares</vt:lpstr>
      <vt:lpstr>PV MG</vt:lpstr>
      <vt:lpstr>Informações Complementares MG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Naiara Machado Costa_CONTR</dc:creator>
  <cp:keywords/>
  <dc:description/>
  <cp:lastModifiedBy>Roberta Inacio Dias Carvalho_CONTR</cp:lastModifiedBy>
  <cp:revision/>
  <cp:lastPrinted>2026-08-11T20:17:38Z</cp:lastPrinted>
  <dcterms:created xsi:type="dcterms:W3CDTF">2025-02-17T19:08:21Z</dcterms:created>
  <dcterms:modified xsi:type="dcterms:W3CDTF">2026-08-17T13:32:43Z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0x010100A9B452E3A5D4CF4BAE3E1F4111076246</vt:lpwstr>
  </property>
  <property fmtid="{D5CDD505-2E9C-101B-9397-08002B2CF9AE}" pid="3" name="MediaServiceImageTags">
    <vt:lpwstr/>
  </property>
  <property fmtid="{D5CDD505-2E9C-101B-9397-08002B2CF9AE}" pid="4" name="Order">
    <vt:r8>106200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